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AM\Desktop\Projet tutoré XP\"/>
    </mc:Choice>
  </mc:AlternateContent>
  <xr:revisionPtr revIDLastSave="0" documentId="8_{B5C4D5DE-B42C-46E4-AF73-9319CFF177FE}" xr6:coauthVersionLast="47" xr6:coauthVersionMax="47" xr10:uidLastSave="{00000000-0000-0000-0000-000000000000}"/>
  <workbookProtection workbookAlgorithmName="SHA-512" workbookHashValue="zo7QRYImlN9ftfWbtQ2VqKWZm2w5BgfBWsQIR1PvJpQoh292ivuspMu4os3S1sISEwQ05nYDg6dHZK//DGiMmg==" workbookSaltValue="WykU/TipK0UCDJfD9TcbBw==" workbookSpinCount="100000" lockStructure="1"/>
  <bookViews>
    <workbookView xWindow="-120" yWindow="-120" windowWidth="20730" windowHeight="11310" xr2:uid="{58AB48C1-CE09-4171-BF63-D25861104FDF}"/>
  </bookViews>
  <sheets>
    <sheet name="Caisse" sheetId="1" r:id="rId1"/>
    <sheet name="Articles" sheetId="2" r:id="rId2"/>
    <sheet name="Historiques_ventes" sheetId="3" r:id="rId3"/>
  </sheets>
  <definedNames>
    <definedName name="Article_description">OFFSET(Articles!$C$2,1,,COUNTA(Articles!$C$2:$C$9999)-1,1)</definedName>
    <definedName name="basttc">Caisse!$P$2:$Q$7</definedName>
    <definedName name="Id_Article">OFFSET(Articles!$A$2,1,,COUNTA(Articles!$A$2:$A$9999)-1,1)</definedName>
    <definedName name="NBTicket">OFFSET(Historiques_ventes!$A$2,1,,COUNTA(Historiques_ventes!$A$2:$A$9999)-1,1)</definedName>
    <definedName name="Nom_article">OFFSET(Articles!$B$2,1,,COUNTA(Articles!$B$2:$B$9999)-1,1)</definedName>
    <definedName name="_xlnm.Print_Area" localSheetId="0">Caisse!$K$1:$N$21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/>
  <c r="B7" i="1"/>
  <c r="K4" i="2" l="1"/>
  <c r="K5" i="2"/>
  <c r="K6" i="2"/>
  <c r="K7" i="2"/>
  <c r="K8" i="2"/>
  <c r="K9" i="2"/>
  <c r="K10" i="2"/>
  <c r="K11" i="2"/>
  <c r="K12" i="2"/>
  <c r="K13" i="2"/>
  <c r="K14" i="2"/>
  <c r="K15" i="2"/>
  <c r="K16" i="2"/>
  <c r="J5" i="2"/>
  <c r="J6" i="2"/>
  <c r="J7" i="2"/>
  <c r="J9" i="2"/>
  <c r="J10" i="2"/>
  <c r="J11" i="2"/>
  <c r="J13" i="2"/>
  <c r="J15" i="2"/>
  <c r="J16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3" i="2"/>
  <c r="H4" i="2" a="1"/>
  <c r="H4" i="2" s="1"/>
  <c r="H5" i="2" a="1"/>
  <c r="H5" i="2" s="1"/>
  <c r="H6" i="2" a="1"/>
  <c r="H6" i="2" s="1"/>
  <c r="H7" i="2" a="1"/>
  <c r="H7" i="2" s="1"/>
  <c r="H8" i="2" a="1"/>
  <c r="H8" i="2" s="1"/>
  <c r="H9" i="2" a="1"/>
  <c r="H9" i="2" s="1"/>
  <c r="H10" i="2" a="1"/>
  <c r="H10" i="2" s="1"/>
  <c r="H11" i="2" a="1"/>
  <c r="H11" i="2" s="1"/>
  <c r="H12" i="2" a="1"/>
  <c r="H12" i="2" s="1"/>
  <c r="H13" i="2" a="1"/>
  <c r="H13" i="2" s="1"/>
  <c r="H14" i="2" a="1"/>
  <c r="H14" i="2" s="1"/>
  <c r="H15" i="2" a="1"/>
  <c r="H15" i="2" s="1"/>
  <c r="H16" i="2" a="1"/>
  <c r="H16" i="2" s="1"/>
  <c r="H44" i="2" a="1"/>
  <c r="H44" i="2" s="1"/>
  <c r="H45" i="2" a="1"/>
  <c r="H45" i="2" s="1"/>
  <c r="H46" i="2" a="1"/>
  <c r="H46" i="2" s="1"/>
  <c r="H47" i="2" a="1"/>
  <c r="H47" i="2" s="1"/>
  <c r="H3" i="2" a="1"/>
  <c r="H3" i="2" s="1"/>
  <c r="Q10" i="1"/>
  <c r="K6" i="1"/>
  <c r="Q2" i="1" l="1"/>
  <c r="Q6" i="1" s="1"/>
  <c r="J8" i="2"/>
  <c r="J4" i="2"/>
  <c r="J14" i="2"/>
  <c r="J12" i="2"/>
  <c r="Q5" i="1"/>
  <c r="Q3" i="1"/>
  <c r="Q4" i="1" l="1"/>
  <c r="Q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<sst xmlns="http://schemas.openxmlformats.org/spreadsheetml/2006/main" count="91" uniqueCount="85">
  <si>
    <t>ARTICLE</t>
  </si>
  <si>
    <t>Description</t>
  </si>
  <si>
    <t>P.U TTC</t>
  </si>
  <si>
    <t>P.U HT</t>
  </si>
  <si>
    <t>TVA</t>
  </si>
  <si>
    <t>Baguette au lait</t>
  </si>
  <si>
    <t>English cake</t>
  </si>
  <si>
    <t>Frommage</t>
  </si>
  <si>
    <t>Gateau</t>
  </si>
  <si>
    <t>Grand complete sandwich</t>
  </si>
  <si>
    <t>Grand pistolet</t>
  </si>
  <si>
    <t>Kanga journée</t>
  </si>
  <si>
    <t xml:space="preserve">Pain baguette </t>
  </si>
  <si>
    <t>Pain double au lait</t>
  </si>
  <si>
    <t>Sandwich au lait</t>
  </si>
  <si>
    <t xml:space="preserve">Sandwich rond </t>
  </si>
  <si>
    <t>Saucicces</t>
  </si>
  <si>
    <t>Toast</t>
  </si>
  <si>
    <t>Ticket de caisse</t>
  </si>
  <si>
    <t>Boulangerie pain d'Or</t>
  </si>
  <si>
    <t>Bukavu, avenue P.E.L n°042</t>
  </si>
  <si>
    <t>P.OBOX 198</t>
  </si>
  <si>
    <t>Contacts: 098865456 / 0876633555</t>
  </si>
  <si>
    <t>Ticket :</t>
  </si>
  <si>
    <t>Total :</t>
  </si>
  <si>
    <t>%</t>
  </si>
  <si>
    <t>Paiement :</t>
  </si>
  <si>
    <t>Dont TVA 5%:</t>
  </si>
  <si>
    <t>Dont TVA 10%:</t>
  </si>
  <si>
    <t>Dont TVA 16%:</t>
  </si>
  <si>
    <t>Montant de remise :</t>
  </si>
  <si>
    <t>Article</t>
  </si>
  <si>
    <t>Qté</t>
  </si>
  <si>
    <t>P.U</t>
  </si>
  <si>
    <t>Total</t>
  </si>
  <si>
    <t>Prix</t>
  </si>
  <si>
    <t>Quantité</t>
  </si>
  <si>
    <t>Id</t>
  </si>
  <si>
    <t>Ticket ligne</t>
  </si>
  <si>
    <t>Ticket suivant</t>
  </si>
  <si>
    <t>Ticket</t>
  </si>
  <si>
    <t>Date</t>
  </si>
  <si>
    <t>Pain légèement sucrée</t>
  </si>
  <si>
    <t>Gateau anglais traditionnel</t>
  </si>
  <si>
    <t>Produit à base de fromage</t>
  </si>
  <si>
    <t>Dessert classique</t>
  </si>
  <si>
    <t xml:space="preserve">Sandwich généreux avec garniture </t>
  </si>
  <si>
    <t>Petit pain rond belge</t>
  </si>
  <si>
    <t>Un pain du jour</t>
  </si>
  <si>
    <t>Duo de viennoiseries</t>
  </si>
  <si>
    <t>Baguette classique</t>
  </si>
  <si>
    <t>Pain enrichi au lait</t>
  </si>
  <si>
    <t>Pain au lait garni</t>
  </si>
  <si>
    <t>Sandwich servi à un pain rond</t>
  </si>
  <si>
    <t>Un snack chaud</t>
  </si>
  <si>
    <t>Pain grillé</t>
  </si>
  <si>
    <t>Nom</t>
  </si>
  <si>
    <t>Id Article</t>
  </si>
  <si>
    <t>Image</t>
  </si>
  <si>
    <t>Ticket en cours</t>
  </si>
  <si>
    <t>Nbre articles</t>
  </si>
  <si>
    <t>TVA 16%</t>
  </si>
  <si>
    <t>TVA 10%</t>
  </si>
  <si>
    <t>TVA 5,5%</t>
  </si>
  <si>
    <t>Total HT :</t>
  </si>
  <si>
    <t>D:\photos projet tutoré\leger.jpg</t>
  </si>
  <si>
    <t>D:\photos projet tutoré\English cake.png</t>
  </si>
  <si>
    <t>D:\photos projet tutoré\Gateau.jpg</t>
  </si>
  <si>
    <t>D:\photos projet tutoré\fromages.png</t>
  </si>
  <si>
    <t>D:\photos projet tutoré\grand complet.jpg</t>
  </si>
  <si>
    <t>D:\photos projet tutoré\rond.jpg</t>
  </si>
  <si>
    <t>D:\photos projet tutoré\kanga.jpg</t>
  </si>
  <si>
    <t xml:space="preserve">Pain au chocolat </t>
  </si>
  <si>
    <t>D:\photos projet tutoré\pain au chocolat.jpg</t>
  </si>
  <si>
    <t>D:\photos projet tutoré\pain baguette.jpg</t>
  </si>
  <si>
    <t>"D:\photos projet tutoré\pain double au lait.webp"</t>
  </si>
  <si>
    <t>D:\photos projet tutoré\sandwich.jpg</t>
  </si>
  <si>
    <t>D:\photos projet tutoré\sandwich au lait.jpg</t>
  </si>
  <si>
    <t>D:\photos projet tutoré\saucisse.png</t>
  </si>
  <si>
    <t>D:\photos projet tutoré\toast.jpg</t>
  </si>
  <si>
    <t>Article ligne</t>
  </si>
  <si>
    <t xml:space="preserve">Historique des ventes </t>
  </si>
  <si>
    <t>chéque</t>
  </si>
  <si>
    <t xml:space="preserve">
SYSTEME DE CAISSE</t>
  </si>
  <si>
    <t xml:space="preserve">    Remise appliquée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</si>
</sst>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#,##0.00\ &quot;FC&quot;;\-#,##0.00\ &quot;FC&quot;"/>
    <numFmt numFmtId="164" formatCode="#,##0\ &quot;FC&quot;"/>
    <numFmt numFmtId="165" formatCode="_-* #,##0\ [$FC-240C]_-;\-* #,##0\ [$FC-240C]_-;_-* &quot;-&quot;??\ [$FC-240C]_-;_-@_-"/>
    <numFmt numFmtId="166" formatCode="#,##0.00\ &quot;FC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mbria"/>
      <family val="1"/>
    </font>
    <font>
      <sz val="11"/>
      <color theme="1"/>
      <name val="Cambria"/>
      <family val="1"/>
    </font>
    <font>
      <sz val="11"/>
      <color theme="0"/>
      <name val="Cambria"/>
      <family val="1"/>
    </font>
    <font>
      <b/>
      <sz val="11"/>
      <color theme="1"/>
      <name val="Cambria"/>
      <family val="1"/>
    </font>
    <font>
      <b/>
      <sz val="28"/>
      <color rgb="FF00B0F0"/>
      <name val="Cambria"/>
      <family val="1"/>
    </font>
    <font>
      <b/>
      <sz val="11"/>
      <color theme="0"/>
      <name val="Cambria"/>
      <family val="1"/>
    </font>
    <font>
      <b/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rgb="FFC00000"/>
      <name val="Cambria"/>
      <family val="1"/>
    </font>
    <font>
      <sz val="16"/>
      <color theme="1"/>
      <name val="Cambria"/>
      <family val="1"/>
    </font>
    <font>
      <sz val="14"/>
      <color theme="1"/>
      <name val="Cambria"/>
      <family val="1"/>
    </font>
    <font>
      <sz val="10"/>
      <name val="Cambria"/>
      <family val="1"/>
    </font>
    <font>
      <b/>
      <sz val="10"/>
      <color theme="1"/>
      <name val="Cambria"/>
      <family val="1"/>
    </font>
    <font>
      <sz val="10"/>
      <color theme="1"/>
      <name val="Cambria"/>
      <family val="1"/>
    </font>
    <font>
      <b/>
      <sz val="16"/>
      <color theme="1"/>
      <name val="Book Antiqua"/>
      <family val="1"/>
    </font>
    <font>
      <b/>
      <sz val="14"/>
      <color theme="1"/>
      <name val="Book Antiqua"/>
      <family val="1"/>
    </font>
    <font>
      <sz val="14"/>
      <color theme="1"/>
      <name val="Book Antiqua"/>
      <family val="1"/>
    </font>
    <font>
      <sz val="11"/>
      <color theme="1"/>
      <name val="Book Antiqua"/>
      <family val="1"/>
    </font>
    <font>
      <b/>
      <sz val="10"/>
      <color theme="2"/>
      <name val="Cambria"/>
      <family val="1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4" fillId="4" borderId="0" xfId="0" applyFont="1" applyFill="1"/>
    <xf numFmtId="0" fontId="2" fillId="4" borderId="0" xfId="0" applyFont="1" applyFill="1"/>
    <xf numFmtId="0" fontId="2" fillId="4" borderId="0" xfId="0" applyFont="1" applyFill="1" applyAlignment="1">
      <alignment horizontal="right" vertical="center"/>
    </xf>
    <xf numFmtId="10" fontId="2" fillId="4" borderId="0" xfId="0" applyNumberFormat="1" applyFont="1" applyFill="1" applyAlignment="1">
      <alignment horizontal="right" vertical="center"/>
    </xf>
    <xf numFmtId="166" fontId="2" fillId="4" borderId="0" xfId="0" applyNumberFormat="1" applyFont="1" applyFill="1"/>
    <xf numFmtId="0" fontId="4" fillId="3" borderId="4" xfId="0" applyFont="1" applyFill="1" applyBorder="1"/>
    <xf numFmtId="0" fontId="4" fillId="5" borderId="0" xfId="0" applyFont="1" applyFill="1"/>
    <xf numFmtId="0" fontId="6" fillId="5" borderId="0" xfId="0" applyFont="1" applyFill="1"/>
    <xf numFmtId="0" fontId="8" fillId="4" borderId="2" xfId="0" applyFont="1" applyFill="1" applyBorder="1"/>
    <xf numFmtId="166" fontId="9" fillId="3" borderId="1" xfId="0" applyNumberFormat="1" applyFont="1" applyFill="1" applyBorder="1"/>
    <xf numFmtId="166" fontId="9" fillId="4" borderId="0" xfId="0" applyNumberFormat="1" applyFont="1" applyFill="1"/>
    <xf numFmtId="0" fontId="10" fillId="0" borderId="0" xfId="0" applyFont="1"/>
    <xf numFmtId="7" fontId="4" fillId="3" borderId="4" xfId="0" applyNumberFormat="1" applyFont="1" applyFill="1" applyBorder="1"/>
    <xf numFmtId="0" fontId="3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/>
    <xf numFmtId="0" fontId="14" fillId="3" borderId="1" xfId="0" applyFont="1" applyFill="1" applyBorder="1" applyAlignment="1">
      <alignment horizontal="left"/>
    </xf>
    <xf numFmtId="0" fontId="4" fillId="6" borderId="0" xfId="0" applyFont="1" applyFill="1"/>
    <xf numFmtId="0" fontId="4" fillId="7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left"/>
    </xf>
    <xf numFmtId="0" fontId="4" fillId="7" borderId="1" xfId="0" applyFont="1" applyFill="1" applyBorder="1"/>
    <xf numFmtId="7" fontId="14" fillId="7" borderId="1" xfId="0" applyNumberFormat="1" applyFont="1" applyFill="1" applyBorder="1" applyAlignment="1">
      <alignment horizontal="left"/>
    </xf>
    <xf numFmtId="0" fontId="13" fillId="2" borderId="1" xfId="0" applyFont="1" applyFill="1" applyBorder="1" applyAlignment="1">
      <alignment horizontal="center"/>
    </xf>
    <xf numFmtId="0" fontId="13" fillId="2" borderId="1" xfId="0" applyFont="1" applyFill="1" applyBorder="1"/>
    <xf numFmtId="0" fontId="0" fillId="2" borderId="1" xfId="0" applyFill="1" applyBorder="1"/>
    <xf numFmtId="0" fontId="18" fillId="2" borderId="1" xfId="0" applyFont="1" applyFill="1" applyBorder="1" applyAlignment="1">
      <alignment horizontal="center"/>
    </xf>
    <xf numFmtId="22" fontId="18" fillId="2" borderId="1" xfId="0" applyNumberFormat="1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22" fontId="19" fillId="2" borderId="1" xfId="0" applyNumberFormat="1" applyFont="1" applyFill="1" applyBorder="1" applyAlignment="1">
      <alignment horizontal="center"/>
    </xf>
    <xf numFmtId="7" fontId="19" fillId="2" borderId="1" xfId="0" applyNumberFormat="1" applyFont="1" applyFill="1" applyBorder="1" applyAlignment="1">
      <alignment horizontal="center"/>
    </xf>
    <xf numFmtId="0" fontId="19" fillId="2" borderId="1" xfId="0" applyFont="1" applyFill="1" applyBorder="1"/>
    <xf numFmtId="0" fontId="20" fillId="2" borderId="1" xfId="0" applyFont="1" applyFill="1" applyBorder="1"/>
    <xf numFmtId="7" fontId="18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1" fillId="8" borderId="1" xfId="0" applyFont="1" applyFill="1" applyBorder="1" applyAlignment="1">
      <alignment horizontal="center"/>
    </xf>
    <xf numFmtId="0" fontId="10" fillId="8" borderId="1" xfId="0" applyFont="1" applyFill="1" applyBorder="1"/>
    <xf numFmtId="0" fontId="3" fillId="9" borderId="1" xfId="0" applyFont="1" applyFill="1" applyBorder="1"/>
    <xf numFmtId="164" fontId="3" fillId="9" borderId="1" xfId="0" applyNumberFormat="1" applyFont="1" applyFill="1" applyBorder="1"/>
    <xf numFmtId="165" fontId="3" fillId="9" borderId="1" xfId="0" applyNumberFormat="1" applyFont="1" applyFill="1" applyBorder="1"/>
    <xf numFmtId="10" fontId="3" fillId="9" borderId="1" xfId="1" applyNumberFormat="1" applyFont="1" applyFill="1" applyBorder="1"/>
    <xf numFmtId="0" fontId="15" fillId="5" borderId="0" xfId="0" applyFont="1" applyFill="1"/>
    <xf numFmtId="0" fontId="16" fillId="5" borderId="0" xfId="0" applyFont="1" applyFill="1"/>
    <xf numFmtId="0" fontId="21" fillId="5" borderId="0" xfId="0" applyFont="1" applyFill="1"/>
    <xf numFmtId="166" fontId="22" fillId="4" borderId="0" xfId="0" applyNumberFormat="1" applyFont="1" applyFill="1"/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22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wrapText="1"/>
    </xf>
    <xf numFmtId="0" fontId="5" fillId="4" borderId="0" xfId="0" applyFont="1" applyFill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2">
    <dxf>
      <font>
        <b val="0"/>
        <i val="0"/>
        <color theme="1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  <color theme="0"/>
      </font>
      <fill>
        <gradientFill degree="90">
          <stop position="0">
            <color theme="8" tint="0.40000610370189521"/>
          </stop>
          <stop position="1">
            <color rgb="FF92D05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152399</xdr:colOff>
      <xdr:row>0</xdr:row>
      <xdr:rowOff>59531</xdr:rowOff>
    </xdr:from>
    <xdr:to>
      <xdr:col>3</xdr:col>
      <xdr:colOff>628650</xdr:colOff>
      <xdr:row>1</xdr:row>
      <xdr:rowOff>154781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8E14E9B-B90B-4286-AA30-BF9A197CF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Marker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868" y="59531"/>
          <a:ext cx="1238251" cy="619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666752</xdr:colOff>
      <xdr:row>12</xdr:row>
      <xdr:rowOff>130969</xdr:rowOff>
    </xdr:from>
    <xdr:to>
      <xdr:col>5</xdr:col>
      <xdr:colOff>904874</xdr:colOff>
      <xdr:row>26</xdr:row>
      <xdr:rowOff>181997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538A7681-42E6-47EB-9C83-89C3054ADB7C}"/>
            </a:ext>
          </a:extLst>
        </xdr:cNvPr>
        <xdr:cNvGrpSpPr/>
      </xdr:nvGrpSpPr>
      <xdr:grpSpPr>
        <a:xfrm>
          <a:off x="3129645" y="2757148"/>
          <a:ext cx="2524122" cy="2718028"/>
          <a:chOff x="8316182" y="2684858"/>
          <a:chExt cx="2286684" cy="2720580"/>
        </a:xfrm>
        <a:effectLst/>
        <a:scene3d>
          <a:camera prst="orthographicFront">
            <a:rot lat="0" lon="0" rev="0"/>
          </a:camera>
          <a:lightRig rig="soft" dir="t">
            <a:rot lat="0" lon="0" rev="0"/>
          </a:lightRig>
        </a:scene3d>
      </xdr:grpSpPr>
      <xdr:sp macro="[0]!entrernumero" textlink="">
        <xdr:nvSpPr>
          <xdr:cNvPr id="5" name="bouton3">
            <a:extLst>
              <a:ext uri="{FF2B5EF4-FFF2-40B4-BE49-F238E27FC236}">
                <a16:creationId xmlns:a16="http://schemas.microsoft.com/office/drawing/2014/main" id="{4AC893E8-B62B-4DF5-B867-C404B7D38468}"/>
              </a:ext>
            </a:extLst>
          </xdr:cNvPr>
          <xdr:cNvSpPr/>
        </xdr:nvSpPr>
        <xdr:spPr>
          <a:xfrm>
            <a:off x="9899716" y="2684858"/>
            <a:ext cx="649222" cy="547690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CD" sz="2400">
                <a:solidFill>
                  <a:sysClr val="windowText" lastClr="000000"/>
                </a:solidFill>
                <a:latin typeface="Arial Black" panose="020B0A04020102020204" pitchFamily="34" charset="0"/>
              </a:rPr>
              <a:t>3</a:t>
            </a:r>
          </a:p>
        </xdr:txBody>
      </xdr:sp>
      <xdr:sp macro="[0]!entrernumero" textlink="">
        <xdr:nvSpPr>
          <xdr:cNvPr id="6" name="bouton2">
            <a:extLst>
              <a:ext uri="{FF2B5EF4-FFF2-40B4-BE49-F238E27FC236}">
                <a16:creationId xmlns:a16="http://schemas.microsoft.com/office/drawing/2014/main" id="{54BC1837-0E79-488A-9070-F31B6F583CED}"/>
              </a:ext>
            </a:extLst>
          </xdr:cNvPr>
          <xdr:cNvSpPr/>
        </xdr:nvSpPr>
        <xdr:spPr>
          <a:xfrm>
            <a:off x="9125810" y="2684858"/>
            <a:ext cx="649222" cy="547690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CD" sz="2400">
                <a:solidFill>
                  <a:sysClr val="windowText" lastClr="000000"/>
                </a:solidFill>
                <a:latin typeface="Arial Black" panose="020B0A04020102020204" pitchFamily="34" charset="0"/>
              </a:rPr>
              <a:t>2</a:t>
            </a:r>
          </a:p>
        </xdr:txBody>
      </xdr:sp>
      <xdr:sp macro="[0]!entrernumero" textlink="">
        <xdr:nvSpPr>
          <xdr:cNvPr id="7" name="bouton1">
            <a:extLst>
              <a:ext uri="{FF2B5EF4-FFF2-40B4-BE49-F238E27FC236}">
                <a16:creationId xmlns:a16="http://schemas.microsoft.com/office/drawing/2014/main" id="{33A7B803-054D-4007-999E-19A2F5DC2491}"/>
              </a:ext>
            </a:extLst>
          </xdr:cNvPr>
          <xdr:cNvSpPr/>
        </xdr:nvSpPr>
        <xdr:spPr>
          <a:xfrm>
            <a:off x="8316182" y="2684858"/>
            <a:ext cx="649222" cy="547690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CD" sz="2400">
                <a:solidFill>
                  <a:sysClr val="windowText" lastClr="000000"/>
                </a:solidFill>
                <a:latin typeface="Arial Black" panose="020B0A04020102020204" pitchFamily="34" charset="0"/>
              </a:rPr>
              <a:t>1</a:t>
            </a:r>
          </a:p>
        </xdr:txBody>
      </xdr:sp>
      <xdr:sp macro="[0]!entrernumero" textlink="">
        <xdr:nvSpPr>
          <xdr:cNvPr id="8" name="bouton4">
            <a:extLst>
              <a:ext uri="{FF2B5EF4-FFF2-40B4-BE49-F238E27FC236}">
                <a16:creationId xmlns:a16="http://schemas.microsoft.com/office/drawing/2014/main" id="{0B7BF927-7E7D-4162-A87D-7341C755F19D}"/>
              </a:ext>
            </a:extLst>
          </xdr:cNvPr>
          <xdr:cNvSpPr/>
        </xdr:nvSpPr>
        <xdr:spPr>
          <a:xfrm>
            <a:off x="8316182" y="3409154"/>
            <a:ext cx="649222" cy="547690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CD" sz="2400">
                <a:solidFill>
                  <a:sysClr val="windowText" lastClr="000000"/>
                </a:solidFill>
                <a:latin typeface="Arial Black" panose="020B0A04020102020204" pitchFamily="34" charset="0"/>
              </a:rPr>
              <a:t>4</a:t>
            </a:r>
          </a:p>
        </xdr:txBody>
      </xdr:sp>
      <xdr:sp macro="[0]!entrernumero" textlink="">
        <xdr:nvSpPr>
          <xdr:cNvPr id="9" name="bouton6">
            <a:extLst>
              <a:ext uri="{FF2B5EF4-FFF2-40B4-BE49-F238E27FC236}">
                <a16:creationId xmlns:a16="http://schemas.microsoft.com/office/drawing/2014/main" id="{A62868C9-0470-4712-A546-19CFAC416FE8}"/>
              </a:ext>
            </a:extLst>
          </xdr:cNvPr>
          <xdr:cNvSpPr/>
        </xdr:nvSpPr>
        <xdr:spPr>
          <a:xfrm>
            <a:off x="9899716" y="3409154"/>
            <a:ext cx="649222" cy="547690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CD" sz="2400">
                <a:solidFill>
                  <a:sysClr val="windowText" lastClr="000000"/>
                </a:solidFill>
                <a:latin typeface="Arial Black" panose="020B0A04020102020204" pitchFamily="34" charset="0"/>
              </a:rPr>
              <a:t>6</a:t>
            </a:r>
          </a:p>
        </xdr:txBody>
      </xdr:sp>
      <xdr:sp macro="[0]!entrernumero" textlink="">
        <xdr:nvSpPr>
          <xdr:cNvPr id="10" name="bouton5">
            <a:extLst>
              <a:ext uri="{FF2B5EF4-FFF2-40B4-BE49-F238E27FC236}">
                <a16:creationId xmlns:a16="http://schemas.microsoft.com/office/drawing/2014/main" id="{CDCD9FE3-9C6B-4363-BDBC-602F5E23A228}"/>
              </a:ext>
            </a:extLst>
          </xdr:cNvPr>
          <xdr:cNvSpPr/>
        </xdr:nvSpPr>
        <xdr:spPr>
          <a:xfrm>
            <a:off x="9125810" y="3409154"/>
            <a:ext cx="649222" cy="547690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CD" sz="2400">
                <a:solidFill>
                  <a:sysClr val="windowText" lastClr="000000"/>
                </a:solidFill>
                <a:latin typeface="Arial Black" panose="020B0A04020102020204" pitchFamily="34" charset="0"/>
              </a:rPr>
              <a:t>5</a:t>
            </a:r>
          </a:p>
        </xdr:txBody>
      </xdr:sp>
      <xdr:sp macro="[0]!entrernumero" textlink="">
        <xdr:nvSpPr>
          <xdr:cNvPr id="11" name="bouton7">
            <a:extLst>
              <a:ext uri="{FF2B5EF4-FFF2-40B4-BE49-F238E27FC236}">
                <a16:creationId xmlns:a16="http://schemas.microsoft.com/office/drawing/2014/main" id="{C194F18A-8889-43C8-B948-32DB7F35EC59}"/>
              </a:ext>
            </a:extLst>
          </xdr:cNvPr>
          <xdr:cNvSpPr/>
        </xdr:nvSpPr>
        <xdr:spPr>
          <a:xfrm>
            <a:off x="8316182" y="4139404"/>
            <a:ext cx="649222" cy="547690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CD" sz="2400">
                <a:solidFill>
                  <a:sysClr val="windowText" lastClr="000000"/>
                </a:solidFill>
                <a:latin typeface="Arial Black" panose="020B0A04020102020204" pitchFamily="34" charset="0"/>
              </a:rPr>
              <a:t>7</a:t>
            </a:r>
          </a:p>
        </xdr:txBody>
      </xdr:sp>
      <xdr:sp macro="[0]!entrernumero" textlink="">
        <xdr:nvSpPr>
          <xdr:cNvPr id="12" name="bouton0">
            <a:extLst>
              <a:ext uri="{FF2B5EF4-FFF2-40B4-BE49-F238E27FC236}">
                <a16:creationId xmlns:a16="http://schemas.microsoft.com/office/drawing/2014/main" id="{FE760457-F0BA-4C53-8B07-72F4B132766C}"/>
              </a:ext>
            </a:extLst>
          </xdr:cNvPr>
          <xdr:cNvSpPr/>
        </xdr:nvSpPr>
        <xdr:spPr>
          <a:xfrm>
            <a:off x="8316182" y="4857748"/>
            <a:ext cx="649222" cy="547690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CD" sz="2400">
                <a:solidFill>
                  <a:sysClr val="windowText" lastClr="000000"/>
                </a:solidFill>
                <a:latin typeface="Arial Black" panose="020B0A04020102020204" pitchFamily="34" charset="0"/>
              </a:rPr>
              <a:t>0</a:t>
            </a:r>
          </a:p>
        </xdr:txBody>
      </xdr:sp>
      <xdr:sp macro="[0]!entrernumero" textlink="">
        <xdr:nvSpPr>
          <xdr:cNvPr id="13" name="bouton8">
            <a:extLst>
              <a:ext uri="{FF2B5EF4-FFF2-40B4-BE49-F238E27FC236}">
                <a16:creationId xmlns:a16="http://schemas.microsoft.com/office/drawing/2014/main" id="{3F2DB664-04C7-415C-8BC1-0C3AA0D4DCFA}"/>
              </a:ext>
            </a:extLst>
          </xdr:cNvPr>
          <xdr:cNvSpPr/>
        </xdr:nvSpPr>
        <xdr:spPr>
          <a:xfrm>
            <a:off x="9125810" y="4139404"/>
            <a:ext cx="649222" cy="547690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CD" sz="2400">
                <a:solidFill>
                  <a:sysClr val="windowText" lastClr="000000"/>
                </a:solidFill>
                <a:latin typeface="Arial Black" panose="020B0A04020102020204" pitchFamily="34" charset="0"/>
              </a:rPr>
              <a:t>8</a:t>
            </a:r>
          </a:p>
        </xdr:txBody>
      </xdr:sp>
      <xdr:sp macro="[0]!entrernumero" textlink="">
        <xdr:nvSpPr>
          <xdr:cNvPr id="14" name="bouton9">
            <a:extLst>
              <a:ext uri="{FF2B5EF4-FFF2-40B4-BE49-F238E27FC236}">
                <a16:creationId xmlns:a16="http://schemas.microsoft.com/office/drawing/2014/main" id="{1803F28C-E274-441B-8B82-EFBEFE7D163A}"/>
              </a:ext>
            </a:extLst>
          </xdr:cNvPr>
          <xdr:cNvSpPr/>
        </xdr:nvSpPr>
        <xdr:spPr>
          <a:xfrm>
            <a:off x="9899716" y="4139404"/>
            <a:ext cx="649222" cy="547690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CD" sz="2400">
                <a:solidFill>
                  <a:sysClr val="windowText" lastClr="000000"/>
                </a:solidFill>
                <a:latin typeface="Arial Black" panose="020B0A04020102020204" pitchFamily="34" charset="0"/>
              </a:rPr>
              <a:t>9</a:t>
            </a:r>
          </a:p>
        </xdr:txBody>
      </xdr:sp>
      <xdr:sp macro="[0]!effacer" textlink="">
        <xdr:nvSpPr>
          <xdr:cNvPr id="15" name="virgule">
            <a:extLst>
              <a:ext uri="{FF2B5EF4-FFF2-40B4-BE49-F238E27FC236}">
                <a16:creationId xmlns:a16="http://schemas.microsoft.com/office/drawing/2014/main" id="{FAFBBA1A-F372-41CB-917E-E4AC0FC7157E}"/>
              </a:ext>
            </a:extLst>
          </xdr:cNvPr>
          <xdr:cNvSpPr/>
        </xdr:nvSpPr>
        <xdr:spPr>
          <a:xfrm>
            <a:off x="9125809" y="4857748"/>
            <a:ext cx="1477057" cy="547690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CD" sz="2400">
                <a:solidFill>
                  <a:sysClr val="windowText" lastClr="000000"/>
                </a:solidFill>
                <a:latin typeface="Arial Black" panose="020B0A04020102020204" pitchFamily="34" charset="0"/>
              </a:rPr>
              <a:t>C</a:t>
            </a:r>
          </a:p>
        </xdr:txBody>
      </xdr:sp>
    </xdr:grpSp>
    <xdr:clientData/>
  </xdr:twoCellAnchor>
  <xdr:twoCellAnchor>
    <xdr:from>
      <xdr:col>8</xdr:col>
      <xdr:colOff>747835</xdr:colOff>
      <xdr:row>12</xdr:row>
      <xdr:rowOff>107156</xdr:rowOff>
    </xdr:from>
    <xdr:to>
      <xdr:col>9</xdr:col>
      <xdr:colOff>702469</xdr:colOff>
      <xdr:row>15</xdr:row>
      <xdr:rowOff>82832</xdr:rowOff>
    </xdr:to>
    <xdr:sp macro="" textlink="">
      <xdr:nvSpPr>
        <xdr:cNvPr id="32" name="bouton3">
          <a:extLst>
            <a:ext uri="{FF2B5EF4-FFF2-40B4-BE49-F238E27FC236}">
              <a16:creationId xmlns:a16="http://schemas.microsoft.com/office/drawing/2014/main" id="{983223D1-2B89-4BE8-A821-83E949A5B148}"/>
            </a:ext>
          </a:extLst>
        </xdr:cNvPr>
        <xdr:cNvSpPr/>
      </xdr:nvSpPr>
      <xdr:spPr>
        <a:xfrm>
          <a:off x="6843835" y="2750344"/>
          <a:ext cx="716634" cy="547176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fr-CD" sz="24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655571</xdr:colOff>
      <xdr:row>12</xdr:row>
      <xdr:rowOff>107156</xdr:rowOff>
    </xdr:from>
    <xdr:to>
      <xdr:col>8</xdr:col>
      <xdr:colOff>610205</xdr:colOff>
      <xdr:row>15</xdr:row>
      <xdr:rowOff>82832</xdr:rowOff>
    </xdr:to>
    <xdr:sp macro="" textlink="">
      <xdr:nvSpPr>
        <xdr:cNvPr id="33" name="bouton2">
          <a:extLst>
            <a:ext uri="{FF2B5EF4-FFF2-40B4-BE49-F238E27FC236}">
              <a16:creationId xmlns:a16="http://schemas.microsoft.com/office/drawing/2014/main" id="{34CE88EF-BA95-4F24-B2CB-F38DF57324DE}"/>
            </a:ext>
          </a:extLst>
        </xdr:cNvPr>
        <xdr:cNvSpPr/>
      </xdr:nvSpPr>
      <xdr:spPr>
        <a:xfrm>
          <a:off x="5989571" y="2750344"/>
          <a:ext cx="716634" cy="547176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fr-CD" sz="24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523875</xdr:colOff>
      <xdr:row>12</xdr:row>
      <xdr:rowOff>107156</xdr:rowOff>
    </xdr:from>
    <xdr:to>
      <xdr:col>7</xdr:col>
      <xdr:colOff>478509</xdr:colOff>
      <xdr:row>15</xdr:row>
      <xdr:rowOff>82832</xdr:rowOff>
    </xdr:to>
    <xdr:sp macro="" textlink="">
      <xdr:nvSpPr>
        <xdr:cNvPr id="34" name="bouton1">
          <a:extLst>
            <a:ext uri="{FF2B5EF4-FFF2-40B4-BE49-F238E27FC236}">
              <a16:creationId xmlns:a16="http://schemas.microsoft.com/office/drawing/2014/main" id="{3B1B31B7-91A9-4851-B2F0-97824F78D665}"/>
            </a:ext>
          </a:extLst>
        </xdr:cNvPr>
        <xdr:cNvSpPr/>
      </xdr:nvSpPr>
      <xdr:spPr>
        <a:xfrm>
          <a:off x="5095875" y="2750344"/>
          <a:ext cx="716634" cy="547176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fr-CD" sz="24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654843</xdr:colOff>
      <xdr:row>12</xdr:row>
      <xdr:rowOff>142874</xdr:rowOff>
    </xdr:from>
    <xdr:to>
      <xdr:col>8</xdr:col>
      <xdr:colOff>619124</xdr:colOff>
      <xdr:row>15</xdr:row>
      <xdr:rowOff>48205</xdr:rowOff>
    </xdr:to>
    <xdr:pic macro="[0]!entrerpaiement">
      <xdr:nvPicPr>
        <xdr:cNvPr id="35" name="carte">
          <a:extLst>
            <a:ext uri="{FF2B5EF4-FFF2-40B4-BE49-F238E27FC236}">
              <a16:creationId xmlns:a16="http://schemas.microsoft.com/office/drawing/2014/main" id="{BA9CA67A-2B47-435C-9C13-CACCA55A7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biLevel thresh="75000"/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8906" y="2786062"/>
          <a:ext cx="726281" cy="476831"/>
        </a:xfrm>
        <a:prstGeom prst="rect">
          <a:avLst/>
        </a:prstGeom>
      </xdr:spPr>
    </xdr:pic>
    <xdr:clientData/>
  </xdr:twoCellAnchor>
  <xdr:twoCellAnchor>
    <xdr:from>
      <xdr:col>9</xdr:col>
      <xdr:colOff>-1</xdr:colOff>
      <xdr:row>12</xdr:row>
      <xdr:rowOff>107156</xdr:rowOff>
    </xdr:from>
    <xdr:to>
      <xdr:col>9</xdr:col>
      <xdr:colOff>690562</xdr:colOff>
      <xdr:row>15</xdr:row>
      <xdr:rowOff>71437</xdr:rowOff>
    </xdr:to>
    <xdr:pic macro="[0]!entrerpaiement">
      <xdr:nvPicPr>
        <xdr:cNvPr id="38" name="chéque">
          <a:extLst>
            <a:ext uri="{FF2B5EF4-FFF2-40B4-BE49-F238E27FC236}">
              <a16:creationId xmlns:a16="http://schemas.microsoft.com/office/drawing/2014/main" id="{9BD8E211-E922-48BE-B5C3-F278E1B81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biLevel thresh="75000"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8062" y="2750344"/>
          <a:ext cx="690563" cy="535781"/>
        </a:xfrm>
        <a:prstGeom prst="rect">
          <a:avLst/>
        </a:prstGeom>
      </xdr:spPr>
    </xdr:pic>
    <xdr:clientData/>
  </xdr:twoCellAnchor>
  <xdr:twoCellAnchor>
    <xdr:from>
      <xdr:col>6</xdr:col>
      <xdr:colOff>547687</xdr:colOff>
      <xdr:row>12</xdr:row>
      <xdr:rowOff>130967</xdr:rowOff>
    </xdr:from>
    <xdr:to>
      <xdr:col>7</xdr:col>
      <xdr:colOff>452436</xdr:colOff>
      <xdr:row>15</xdr:row>
      <xdr:rowOff>83342</xdr:rowOff>
    </xdr:to>
    <xdr:pic macro="[0]!entrerpaiement">
      <xdr:nvPicPr>
        <xdr:cNvPr id="39" name="espèce">
          <a:extLst>
            <a:ext uri="{FF2B5EF4-FFF2-40B4-BE49-F238E27FC236}">
              <a16:creationId xmlns:a16="http://schemas.microsoft.com/office/drawing/2014/main" id="{02FAC96C-FDE2-442F-9AF1-8CD24870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biLevel thresh="75000"/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0" y="2774155"/>
          <a:ext cx="666749" cy="523875"/>
        </a:xfrm>
        <a:prstGeom prst="rect">
          <a:avLst/>
        </a:prstGeom>
      </xdr:spPr>
    </xdr:pic>
    <xdr:clientData/>
  </xdr:twoCellAnchor>
  <xdr:twoCellAnchor>
    <xdr:from>
      <xdr:col>6</xdr:col>
      <xdr:colOff>500062</xdr:colOff>
      <xdr:row>16</xdr:row>
      <xdr:rowOff>35719</xdr:rowOff>
    </xdr:from>
    <xdr:to>
      <xdr:col>9</xdr:col>
      <xdr:colOff>690562</xdr:colOff>
      <xdr:row>19</xdr:row>
      <xdr:rowOff>11395</xdr:rowOff>
    </xdr:to>
    <xdr:sp macro="[0]!remise" textlink="">
      <xdr:nvSpPr>
        <xdr:cNvPr id="41" name="remise">
          <a:extLst>
            <a:ext uri="{FF2B5EF4-FFF2-40B4-BE49-F238E27FC236}">
              <a16:creationId xmlns:a16="http://schemas.microsoft.com/office/drawing/2014/main" id="{384A87D0-9D31-4BF1-A5A0-0CDD0E25163B}"/>
            </a:ext>
          </a:extLst>
        </xdr:cNvPr>
        <xdr:cNvSpPr/>
      </xdr:nvSpPr>
      <xdr:spPr>
        <a:xfrm>
          <a:off x="5072062" y="3440907"/>
          <a:ext cx="2476500" cy="547176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D" sz="2400">
              <a:solidFill>
                <a:sysClr val="windowText" lastClr="000000"/>
              </a:solidFill>
              <a:latin typeface="Arial Black" panose="020B0A04020102020204" pitchFamily="34" charset="0"/>
            </a:rPr>
            <a:t>Remise</a:t>
          </a:r>
        </a:p>
      </xdr:txBody>
    </xdr:sp>
    <xdr:clientData/>
  </xdr:twoCellAnchor>
  <xdr:twoCellAnchor>
    <xdr:from>
      <xdr:col>6</xdr:col>
      <xdr:colOff>500062</xdr:colOff>
      <xdr:row>19</xdr:row>
      <xdr:rowOff>130969</xdr:rowOff>
    </xdr:from>
    <xdr:to>
      <xdr:col>9</xdr:col>
      <xdr:colOff>690562</xdr:colOff>
      <xdr:row>22</xdr:row>
      <xdr:rowOff>106645</xdr:rowOff>
    </xdr:to>
    <xdr:sp macro="[0]!imprimer" textlink="">
      <xdr:nvSpPr>
        <xdr:cNvPr id="42" name="impression">
          <a:extLst>
            <a:ext uri="{FF2B5EF4-FFF2-40B4-BE49-F238E27FC236}">
              <a16:creationId xmlns:a16="http://schemas.microsoft.com/office/drawing/2014/main" id="{AB41F35C-689E-4569-A840-9C74D8912D8F}"/>
            </a:ext>
          </a:extLst>
        </xdr:cNvPr>
        <xdr:cNvSpPr/>
      </xdr:nvSpPr>
      <xdr:spPr>
        <a:xfrm>
          <a:off x="5072062" y="4107657"/>
          <a:ext cx="2476500" cy="547176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D" sz="2400">
              <a:solidFill>
                <a:sysClr val="windowText" lastClr="000000"/>
              </a:solidFill>
              <a:latin typeface="Arial Black" panose="020B0A04020102020204" pitchFamily="34" charset="0"/>
            </a:rPr>
            <a:t>Impression</a:t>
          </a:r>
        </a:p>
      </xdr:txBody>
    </xdr:sp>
    <xdr:clientData/>
  </xdr:twoCellAnchor>
  <xdr:twoCellAnchor>
    <xdr:from>
      <xdr:col>6</xdr:col>
      <xdr:colOff>500062</xdr:colOff>
      <xdr:row>23</xdr:row>
      <xdr:rowOff>59531</xdr:rowOff>
    </xdr:from>
    <xdr:to>
      <xdr:col>9</xdr:col>
      <xdr:colOff>690562</xdr:colOff>
      <xdr:row>26</xdr:row>
      <xdr:rowOff>35207</xdr:rowOff>
    </xdr:to>
    <xdr:sp macro="[0]!suivant" textlink="">
      <xdr:nvSpPr>
        <xdr:cNvPr id="43" name="suivant">
          <a:extLst>
            <a:ext uri="{FF2B5EF4-FFF2-40B4-BE49-F238E27FC236}">
              <a16:creationId xmlns:a16="http://schemas.microsoft.com/office/drawing/2014/main" id="{B7CAC676-8186-4C33-91E3-DEDE38072E66}"/>
            </a:ext>
          </a:extLst>
        </xdr:cNvPr>
        <xdr:cNvSpPr/>
      </xdr:nvSpPr>
      <xdr:spPr>
        <a:xfrm>
          <a:off x="5072062" y="4798219"/>
          <a:ext cx="2476500" cy="547176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D" sz="2400">
              <a:solidFill>
                <a:sysClr val="windowText" lastClr="000000"/>
              </a:solidFill>
              <a:latin typeface="Arial Black" panose="020B0A04020102020204" pitchFamily="34" charset="0"/>
            </a:rPr>
            <a:t>Suivant</a:t>
          </a:r>
        </a:p>
      </xdr:txBody>
    </xdr:sp>
    <xdr:clientData/>
  </xdr:twoCellAnchor>
  <xdr:twoCellAnchor editAs="oneCell">
    <xdr:from>
      <xdr:col>7</xdr:col>
      <xdr:colOff>0</xdr:colOff>
      <xdr:row>2</xdr:row>
      <xdr:rowOff>190499</xdr:rowOff>
    </xdr:from>
    <xdr:to>
      <xdr:col>10</xdr:col>
      <xdr:colOff>11906</xdr:colOff>
      <xdr:row>11</xdr:row>
      <xdr:rowOff>35718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9214B2EA-268D-459C-B593-FA95B11A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9406" y="904874"/>
          <a:ext cx="2297906" cy="1559719"/>
        </a:xfrm>
        <a:prstGeom prst="rect">
          <a:avLst/>
        </a:prstGeom>
        <a:ln>
          <a:solidFill>
            <a:srgbClr val="00B0F0"/>
          </a:solidFill>
        </a:ln>
      </xdr:spPr>
    </xdr:pic>
    <xdr:clientData/>
  </xdr:twoCellAnchor>
  <xdr:twoCellAnchor>
    <xdr:from>
      <xdr:col>6</xdr:col>
      <xdr:colOff>750094</xdr:colOff>
      <xdr:row>2</xdr:row>
      <xdr:rowOff>190499</xdr:rowOff>
    </xdr:from>
    <xdr:to>
      <xdr:col>10</xdr:col>
      <xdr:colOff>11906</xdr:colOff>
      <xdr:row>5</xdr:row>
      <xdr:rowOff>47624</xdr:rowOff>
    </xdr:to>
    <xdr:sp macro="" textlink="">
      <xdr:nvSpPr>
        <xdr:cNvPr id="27" name="ZoneTexte 76">
          <a:extLst>
            <a:ext uri="{FF2B5EF4-FFF2-40B4-BE49-F238E27FC236}">
              <a16:creationId xmlns:a16="http://schemas.microsoft.com/office/drawing/2014/main" id="{3EFEA383-FA68-4F18-ACAF-0FCA02E784D7}"/>
            </a:ext>
          </a:extLst>
        </xdr:cNvPr>
        <xdr:cNvSpPr txBox="1"/>
      </xdr:nvSpPr>
      <xdr:spPr>
        <a:xfrm>
          <a:off x="6667500" y="904874"/>
          <a:ext cx="2309812" cy="428625"/>
        </a:xfrm>
        <a:prstGeom prst="rect">
          <a:avLst/>
        </a:prstGeom>
        <a:solidFill>
          <a:schemeClr val="tx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fr-F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800" b="1">
              <a:solidFill>
                <a:srgbClr val="00B0F0"/>
              </a:solidFill>
              <a:latin typeface="Broadway" panose="04040905080B02020502" pitchFamily="82" charset="0"/>
              <a:ea typeface="Cambria" panose="02040503050406030204" pitchFamily="18" charset="0"/>
            </a:rPr>
            <a:t>B</a:t>
          </a:r>
          <a:r>
            <a:rPr lang="en-US" sz="1100" b="1">
              <a:solidFill>
                <a:srgbClr val="00B0F0"/>
              </a:solidFill>
              <a:latin typeface="Cambria" panose="02040503050406030204" pitchFamily="18" charset="0"/>
              <a:ea typeface="Cambria" panose="02040503050406030204" pitchFamily="18" charset="0"/>
            </a:rPr>
            <a:t>oulangerie Pain</a:t>
          </a:r>
          <a:r>
            <a:rPr lang="en-US" sz="1100" b="1" baseline="0">
              <a:solidFill>
                <a:srgbClr val="00B0F0"/>
              </a:solidFill>
              <a:latin typeface="Cambria" panose="02040503050406030204" pitchFamily="18" charset="0"/>
              <a:ea typeface="Cambria" panose="02040503050406030204" pitchFamily="18" charset="0"/>
            </a:rPr>
            <a:t> d'Or Bukavu</a:t>
          </a:r>
          <a:endParaRPr lang="en-US" sz="1100" b="1">
            <a:solidFill>
              <a:srgbClr val="00B0F0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98CD0-0E43-4941-A5E7-AAAFE3D3FD1B}">
  <sheetPr codeName="Feuil1">
    <tabColor rgb="FF00B0F0"/>
  </sheetPr>
  <dimension ref="A1:Z36"/>
  <sheetViews>
    <sheetView tabSelected="1" zoomScale="70" zoomScaleNormal="70" workbookViewId="0">
      <selection activeCell="F9" sqref="F9"/>
    </sheetView>
  </sheetViews>
  <sheetFormatPr baseColWidth="10" defaultRowHeight="15" x14ac:dyDescent="0.25"/>
  <cols>
    <col min="1" max="1" width="14.28515625" customWidth="1"/>
    <col min="2" max="2" width="22.5703125" customWidth="1"/>
    <col min="6" max="6" width="21" customWidth="1"/>
    <col min="11" max="11" width="24.5703125" customWidth="1"/>
    <col min="12" max="12" width="7.5703125" customWidth="1"/>
    <col min="13" max="13" width="21.42578125" customWidth="1"/>
    <col min="14" max="14" width="13.5703125" customWidth="1"/>
    <col min="15" max="15" width="10.140625" customWidth="1"/>
    <col min="16" max="16" width="13.7109375" customWidth="1"/>
    <col min="17" max="17" width="21.85546875" customWidth="1"/>
  </cols>
  <sheetData>
    <row r="1" spans="1:26" ht="41.25" customHeight="1" x14ac:dyDescent="0.45">
      <c r="A1" s="7"/>
      <c r="B1" s="7"/>
      <c r="C1" s="1"/>
      <c r="D1" s="57" t="s">
        <v>83</v>
      </c>
      <c r="E1" s="58"/>
      <c r="F1" s="58"/>
      <c r="G1" s="58"/>
      <c r="H1" s="58"/>
      <c r="I1" s="58"/>
      <c r="J1" s="58"/>
      <c r="K1" s="59" t="s">
        <v>18</v>
      </c>
      <c r="L1" s="59"/>
      <c r="M1" s="59"/>
      <c r="N1" s="59"/>
      <c r="O1" s="2"/>
      <c r="P1" s="2"/>
      <c r="Q1" s="5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7"/>
      <c r="B2" s="7"/>
      <c r="C2" s="1"/>
      <c r="D2" s="1"/>
      <c r="E2" s="1"/>
      <c r="F2" s="1"/>
      <c r="G2" s="1"/>
      <c r="H2" s="1"/>
      <c r="I2" s="1"/>
      <c r="J2" s="1"/>
      <c r="K2" s="56" t="s">
        <v>19</v>
      </c>
      <c r="L2" s="56"/>
      <c r="M2" s="56"/>
      <c r="N2" s="56"/>
      <c r="O2" s="3"/>
      <c r="P2" s="3" t="s">
        <v>24</v>
      </c>
      <c r="Q2" s="10">
        <f>SUMIF(K10:K999,"&lt;&gt;",N10:N999)*(1-Q10)</f>
        <v>0</v>
      </c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7"/>
      <c r="B3" s="7"/>
      <c r="C3" s="1"/>
      <c r="D3" s="1"/>
      <c r="E3" s="1"/>
      <c r="F3" s="1"/>
      <c r="G3" s="1"/>
      <c r="H3" s="1"/>
      <c r="I3" s="1"/>
      <c r="J3" s="1"/>
      <c r="K3" s="56" t="s">
        <v>20</v>
      </c>
      <c r="L3" s="56"/>
      <c r="M3" s="56"/>
      <c r="N3" s="56"/>
      <c r="O3" s="4"/>
      <c r="P3" s="4" t="s">
        <v>27</v>
      </c>
      <c r="Q3" s="10">
        <f>SUM(Articles!I3:I999)</f>
        <v>0</v>
      </c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7"/>
      <c r="B4" s="7"/>
      <c r="C4" s="1"/>
      <c r="D4" s="9" t="s">
        <v>31</v>
      </c>
      <c r="E4" s="60" t="s">
        <v>6</v>
      </c>
      <c r="F4" s="61"/>
      <c r="G4" s="1"/>
      <c r="H4" s="47"/>
      <c r="I4" s="48"/>
      <c r="J4" s="49"/>
      <c r="K4" s="56" t="s">
        <v>21</v>
      </c>
      <c r="L4" s="56"/>
      <c r="M4" s="56"/>
      <c r="N4" s="56"/>
      <c r="O4" s="4"/>
      <c r="P4" s="4" t="s">
        <v>28</v>
      </c>
      <c r="Q4" s="10">
        <f>SUM(Articles!J3:J999)</f>
        <v>0</v>
      </c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7"/>
      <c r="B5" s="7"/>
      <c r="C5" s="1"/>
      <c r="D5" s="62"/>
      <c r="E5" s="60"/>
      <c r="F5" s="61"/>
      <c r="G5" s="1"/>
      <c r="H5" s="50"/>
      <c r="I5" s="51"/>
      <c r="J5" s="52"/>
      <c r="K5" s="56" t="s">
        <v>22</v>
      </c>
      <c r="L5" s="56"/>
      <c r="M5" s="56"/>
      <c r="N5" s="56"/>
      <c r="O5" s="4"/>
      <c r="P5" s="4" t="s">
        <v>29</v>
      </c>
      <c r="Q5" s="10">
        <f>SUM(Articles!K3:K999)</f>
        <v>0</v>
      </c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8"/>
      <c r="B6" s="8"/>
      <c r="C6" s="1"/>
      <c r="D6" s="1"/>
      <c r="E6" s="1"/>
      <c r="F6" s="1"/>
      <c r="G6" s="1"/>
      <c r="H6" s="50"/>
      <c r="I6" s="51"/>
      <c r="J6" s="52"/>
      <c r="K6" s="55">
        <f ca="1" xml:space="preserve"> NOW()</f>
        <v>45962.472946064816</v>
      </c>
      <c r="L6" s="56"/>
      <c r="M6" s="56"/>
      <c r="N6" s="56"/>
      <c r="O6" s="3"/>
      <c r="P6" s="3" t="s">
        <v>30</v>
      </c>
      <c r="Q6" s="10">
        <f>-(SUMIF(K10:K999,"&lt;&gt;",N10:N999)-Q2)</f>
        <v>0</v>
      </c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43" t="s">
        <v>80</v>
      </c>
      <c r="B7" s="41" t="str">
        <f ca="1">IFERROR(MATCH(E11,Id_Article,0)+1,"")</f>
        <v/>
      </c>
      <c r="C7" s="1"/>
      <c r="D7" s="1"/>
      <c r="E7" s="9" t="s">
        <v>35</v>
      </c>
      <c r="F7" s="13">
        <v>10000</v>
      </c>
      <c r="G7" s="1"/>
      <c r="H7" s="50"/>
      <c r="I7" s="51"/>
      <c r="J7" s="52"/>
      <c r="K7" s="18" t="s">
        <v>23</v>
      </c>
      <c r="L7" s="18">
        <v>1003</v>
      </c>
      <c r="M7" s="18"/>
      <c r="N7" s="18"/>
      <c r="O7" s="3"/>
      <c r="P7" s="3" t="s">
        <v>64</v>
      </c>
      <c r="Q7" s="10">
        <f>(Q2-Q3-Q4-Q5-Q6)*(1-Q10)</f>
        <v>0</v>
      </c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41" t="s">
        <v>38</v>
      </c>
      <c r="B8" s="41">
        <v>10</v>
      </c>
      <c r="C8" s="1"/>
      <c r="D8" s="1"/>
      <c r="E8" s="1"/>
      <c r="F8" s="1"/>
      <c r="G8" s="1"/>
      <c r="H8" s="50"/>
      <c r="I8" s="51"/>
      <c r="J8" s="52"/>
      <c r="K8" s="18"/>
      <c r="L8" s="18"/>
      <c r="M8" s="18"/>
      <c r="N8" s="18"/>
      <c r="O8" s="3"/>
      <c r="P8" s="3" t="s">
        <v>26</v>
      </c>
      <c r="Q8" s="10" t="s">
        <v>82</v>
      </c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41" t="s">
        <v>39</v>
      </c>
      <c r="B9" s="41">
        <f ca="1">IFERROR(MAX(NBTicket)+1,1000)</f>
        <v>1000</v>
      </c>
      <c r="C9" s="1"/>
      <c r="D9" s="1"/>
      <c r="E9" s="9" t="s">
        <v>36</v>
      </c>
      <c r="F9" s="6">
        <v>1</v>
      </c>
      <c r="G9" s="1"/>
      <c r="H9" s="50"/>
      <c r="I9" s="51"/>
      <c r="J9" s="51"/>
      <c r="K9" s="19" t="s">
        <v>31</v>
      </c>
      <c r="L9" s="15" t="s">
        <v>32</v>
      </c>
      <c r="M9" s="19" t="s">
        <v>33</v>
      </c>
      <c r="N9" s="15" t="s">
        <v>34</v>
      </c>
      <c r="O9" s="2"/>
      <c r="P9" s="2"/>
      <c r="Q9" s="11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42"/>
      <c r="B10" s="41"/>
      <c r="C10" s="1"/>
      <c r="D10" s="1"/>
      <c r="E10" s="1"/>
      <c r="F10" s="1"/>
      <c r="G10" s="1"/>
      <c r="H10" s="50"/>
      <c r="I10" s="51"/>
      <c r="J10" s="51"/>
      <c r="K10" s="20"/>
      <c r="L10" s="17"/>
      <c r="M10" s="22"/>
      <c r="N10" s="17"/>
      <c r="O10" s="2"/>
      <c r="P10" s="2"/>
      <c r="Q10" s="44">
        <f>Q11/100</f>
        <v>0</v>
      </c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7"/>
      <c r="B11" s="7"/>
      <c r="C11" s="1"/>
      <c r="D11" s="9" t="s">
        <v>37</v>
      </c>
      <c r="E11" s="45"/>
      <c r="F11" s="46"/>
      <c r="G11" s="1"/>
      <c r="H11" s="53"/>
      <c r="I11" s="54"/>
      <c r="J11" s="54"/>
      <c r="K11" s="20"/>
      <c r="L11" s="17"/>
      <c r="M11" s="22"/>
      <c r="N11" s="17"/>
      <c r="O11" s="2" t="s">
        <v>84</v>
      </c>
      <c r="P11" s="2"/>
      <c r="Q11" s="10"/>
      <c r="R11" s="2" t="s">
        <v>25</v>
      </c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7"/>
      <c r="B12" s="7"/>
      <c r="C12" s="1"/>
      <c r="D12" s="1"/>
      <c r="E12" s="1"/>
      <c r="F12" s="1">
        <v>2</v>
      </c>
      <c r="G12" s="1"/>
      <c r="H12" s="1"/>
      <c r="I12" s="1"/>
      <c r="J12" s="1"/>
      <c r="K12" s="20"/>
      <c r="L12" s="17"/>
      <c r="M12" s="22"/>
      <c r="N12" s="17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7"/>
      <c r="B13" s="7"/>
      <c r="C13" s="1"/>
      <c r="D13" s="1"/>
      <c r="E13" s="1"/>
      <c r="F13" s="1"/>
      <c r="G13" s="1"/>
      <c r="H13" s="1"/>
      <c r="I13" s="1"/>
      <c r="J13" s="1"/>
      <c r="K13" s="20"/>
      <c r="L13" s="17"/>
      <c r="M13" s="22"/>
      <c r="N13" s="17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7"/>
      <c r="B14" s="7"/>
      <c r="C14" s="1"/>
      <c r="D14" s="1"/>
      <c r="E14" s="1"/>
      <c r="F14" s="1"/>
      <c r="G14" s="1"/>
      <c r="H14" s="1"/>
      <c r="I14" s="1"/>
      <c r="J14" s="1"/>
      <c r="K14" s="20"/>
      <c r="L14" s="17"/>
      <c r="M14" s="22"/>
      <c r="N14" s="17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7"/>
      <c r="B15" s="7"/>
      <c r="C15" s="1"/>
      <c r="D15" s="1"/>
      <c r="E15" s="1"/>
      <c r="F15" s="1"/>
      <c r="G15" s="1"/>
      <c r="H15" s="1"/>
      <c r="I15" s="1"/>
      <c r="J15" s="1"/>
      <c r="K15" s="20"/>
      <c r="L15" s="17"/>
      <c r="M15" s="20"/>
      <c r="N15" s="17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7"/>
      <c r="B16" s="7"/>
      <c r="C16" s="1"/>
      <c r="D16" s="1"/>
      <c r="E16" s="1"/>
      <c r="F16" s="1"/>
      <c r="G16" s="1"/>
      <c r="H16" s="1"/>
      <c r="I16" s="1"/>
      <c r="J16" s="1"/>
      <c r="K16" s="20"/>
      <c r="L16" s="17"/>
      <c r="M16" s="20"/>
      <c r="N16" s="17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7"/>
      <c r="B17" s="7"/>
      <c r="C17" s="1"/>
      <c r="D17" s="1"/>
      <c r="E17" s="1"/>
      <c r="F17" s="1"/>
      <c r="G17" s="1"/>
      <c r="H17" s="1"/>
      <c r="I17" s="1"/>
      <c r="J17" s="1"/>
      <c r="K17" s="20"/>
      <c r="L17" s="17"/>
      <c r="M17" s="20"/>
      <c r="N17" s="17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7"/>
      <c r="B18" s="7"/>
      <c r="C18" s="1"/>
      <c r="D18" s="1"/>
      <c r="E18" s="1"/>
      <c r="F18" s="1"/>
      <c r="G18" s="1"/>
      <c r="H18" s="1"/>
      <c r="I18" s="1"/>
      <c r="J18" s="1"/>
      <c r="K18" s="20"/>
      <c r="L18" s="17"/>
      <c r="M18" s="20"/>
      <c r="N18" s="17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7"/>
      <c r="B19" s="7"/>
      <c r="C19" s="1"/>
      <c r="D19" s="1"/>
      <c r="E19" s="1"/>
      <c r="F19" s="1"/>
      <c r="G19" s="1"/>
      <c r="H19" s="1"/>
      <c r="I19" s="1"/>
      <c r="J19" s="1"/>
      <c r="K19" s="20"/>
      <c r="L19" s="17"/>
      <c r="M19" s="20"/>
      <c r="N19" s="17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7"/>
      <c r="B20" s="7"/>
      <c r="C20" s="1"/>
      <c r="D20" s="1"/>
      <c r="E20" s="1">
        <v>23</v>
      </c>
      <c r="F20" s="1"/>
      <c r="G20" s="1"/>
      <c r="H20" s="1"/>
      <c r="I20" s="1"/>
      <c r="J20" s="1"/>
      <c r="K20" s="20"/>
      <c r="L20" s="17"/>
      <c r="M20" s="20"/>
      <c r="N20" s="17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5">
      <c r="A21" s="7"/>
      <c r="B21" s="7"/>
      <c r="C21" s="1"/>
      <c r="D21" s="1"/>
      <c r="E21" s="1"/>
      <c r="F21" s="1"/>
      <c r="G21" s="1"/>
      <c r="H21" s="1"/>
      <c r="I21" s="1"/>
      <c r="J21" s="1"/>
      <c r="K21" s="20"/>
      <c r="L21" s="17"/>
      <c r="M21" s="20"/>
      <c r="N21" s="17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5">
      <c r="A22" s="7"/>
      <c r="B22" s="7"/>
      <c r="C22" s="1"/>
      <c r="D22" s="1"/>
      <c r="E22" s="1"/>
      <c r="F22" s="1"/>
      <c r="G22" s="1"/>
      <c r="H22" s="1"/>
      <c r="I22" s="1"/>
      <c r="J22" s="1"/>
      <c r="K22" s="20"/>
      <c r="L22" s="17"/>
      <c r="M22" s="20"/>
      <c r="N22" s="17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5">
      <c r="A23" s="7"/>
      <c r="B23" s="7"/>
      <c r="C23" s="1"/>
      <c r="D23" s="1"/>
      <c r="E23" s="1"/>
      <c r="F23" s="1"/>
      <c r="G23" s="1"/>
      <c r="H23" s="1"/>
      <c r="I23" s="1"/>
      <c r="J23" s="1"/>
      <c r="K23" s="20"/>
      <c r="L23" s="17"/>
      <c r="M23" s="20"/>
      <c r="N23" s="17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5">
      <c r="A24" s="7"/>
      <c r="B24" s="7"/>
      <c r="C24" s="1"/>
      <c r="D24" s="1"/>
      <c r="E24" s="1"/>
      <c r="F24" s="1"/>
      <c r="G24" s="1"/>
      <c r="H24" s="1"/>
      <c r="I24" s="1"/>
      <c r="J24" s="1"/>
      <c r="K24" s="20"/>
      <c r="L24" s="17"/>
      <c r="M24" s="20"/>
      <c r="N24" s="17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5">
      <c r="A25" s="7"/>
      <c r="B25" s="7"/>
      <c r="C25" s="1"/>
      <c r="D25" s="1"/>
      <c r="E25" s="1"/>
      <c r="F25" s="1"/>
      <c r="G25" s="1"/>
      <c r="H25" s="1"/>
      <c r="I25" s="1"/>
      <c r="J25" s="1"/>
      <c r="K25" s="21"/>
      <c r="L25" s="16"/>
      <c r="M25" s="21"/>
      <c r="N25" s="16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5">
      <c r="A26" s="7"/>
      <c r="B26" s="7"/>
      <c r="C26" s="1"/>
      <c r="D26" s="1"/>
      <c r="E26" s="1"/>
      <c r="F26" s="1"/>
      <c r="G26" s="1"/>
      <c r="H26" s="1"/>
      <c r="I26" s="1"/>
      <c r="J26" s="1"/>
      <c r="K26" s="21"/>
      <c r="L26" s="16"/>
      <c r="M26" s="21"/>
      <c r="N26" s="16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5">
      <c r="A27" s="7"/>
      <c r="B27" s="7"/>
      <c r="C27" s="1"/>
      <c r="D27" s="1"/>
      <c r="E27" s="1"/>
      <c r="F27" s="1"/>
      <c r="G27" s="1"/>
      <c r="H27" s="1"/>
      <c r="I27" s="1"/>
      <c r="J27" s="1"/>
      <c r="K27" s="21"/>
      <c r="L27" s="16"/>
      <c r="M27" s="21"/>
      <c r="N27" s="16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5">
      <c r="A28" s="7"/>
      <c r="B28" s="7"/>
      <c r="C28" s="1"/>
      <c r="D28" s="1"/>
      <c r="E28" s="1"/>
      <c r="F28" s="1"/>
      <c r="G28" s="1"/>
      <c r="H28" s="1"/>
      <c r="I28" s="1"/>
      <c r="J28" s="1"/>
      <c r="K28" s="21"/>
      <c r="L28" s="16"/>
      <c r="M28" s="21"/>
      <c r="N28" s="16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5">
      <c r="A29" s="7"/>
      <c r="B29" s="7"/>
      <c r="C29" s="1"/>
      <c r="D29" s="1"/>
      <c r="E29" s="1"/>
      <c r="F29" s="1"/>
      <c r="G29" s="1"/>
      <c r="H29" s="1"/>
      <c r="I29" s="1">
        <v>33</v>
      </c>
      <c r="J29" s="1"/>
      <c r="K29" s="21"/>
      <c r="L29" s="16"/>
      <c r="M29" s="21"/>
      <c r="N29" s="16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5">
      <c r="A30" s="7"/>
      <c r="B30" s="7"/>
      <c r="C30" s="1"/>
      <c r="D30" s="1"/>
      <c r="E30" s="1"/>
      <c r="F30" s="1"/>
      <c r="G30" s="1"/>
      <c r="H30" s="1"/>
      <c r="I30" s="1"/>
      <c r="J30" s="1">
        <v>3333333333222220</v>
      </c>
      <c r="K30" s="21"/>
      <c r="L30" s="16"/>
      <c r="M30" s="21"/>
      <c r="N30" s="16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5">
      <c r="A31" s="7"/>
      <c r="B31" s="7"/>
      <c r="C31" s="1"/>
      <c r="D31" s="1"/>
      <c r="E31" s="1"/>
      <c r="F31" s="1"/>
      <c r="G31" s="1"/>
      <c r="H31" s="1"/>
      <c r="I31" s="1"/>
      <c r="J31" s="1"/>
      <c r="K31" s="21"/>
      <c r="L31" s="16"/>
      <c r="M31" s="21"/>
      <c r="N31" s="16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5">
      <c r="A32" s="7"/>
      <c r="B32" s="7"/>
      <c r="C32" s="1"/>
      <c r="D32" s="1"/>
      <c r="E32" s="1"/>
      <c r="F32" s="1"/>
      <c r="G32" s="1"/>
      <c r="H32" s="1"/>
      <c r="I32" s="1"/>
      <c r="J32" s="1"/>
      <c r="K32" s="21"/>
      <c r="L32" s="16"/>
      <c r="M32" s="21"/>
      <c r="N32" s="16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5">
      <c r="A33" s="7"/>
      <c r="B33" s="7"/>
      <c r="C33" s="1"/>
      <c r="D33" s="1"/>
      <c r="E33" s="1"/>
      <c r="F33" s="1"/>
      <c r="G33" s="1"/>
      <c r="H33" s="1"/>
      <c r="I33" s="1"/>
      <c r="J33" s="1"/>
      <c r="K33" s="21"/>
      <c r="L33" s="16"/>
      <c r="M33" s="21"/>
      <c r="N33" s="16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5">
      <c r="A34" s="7"/>
      <c r="B34" s="7"/>
      <c r="C34" s="1"/>
      <c r="D34" s="1"/>
      <c r="E34" s="1"/>
      <c r="F34" s="1"/>
      <c r="G34" s="1"/>
      <c r="H34" s="1"/>
      <c r="I34" s="1"/>
      <c r="J34" s="1"/>
      <c r="K34" s="21"/>
      <c r="L34" s="16"/>
      <c r="M34" s="21"/>
      <c r="N34" s="16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5">
      <c r="A35" s="7"/>
      <c r="B35" s="7"/>
      <c r="C35" s="1"/>
      <c r="D35" s="1"/>
      <c r="E35" s="1"/>
      <c r="F35" s="1"/>
      <c r="G35" s="1"/>
      <c r="H35" s="1"/>
      <c r="I35" s="1"/>
      <c r="J35" s="1"/>
      <c r="K35" s="21"/>
      <c r="L35" s="16"/>
      <c r="M35" s="21"/>
      <c r="N35" s="16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5">
      <c r="A36" s="7"/>
      <c r="B36" s="7"/>
      <c r="C36" s="1"/>
      <c r="D36" s="1"/>
      <c r="E36" s="1"/>
      <c r="F36" s="1"/>
      <c r="G36" s="1"/>
      <c r="H36" s="1"/>
      <c r="I36" s="1"/>
      <c r="J36" s="1"/>
      <c r="K36" s="21"/>
      <c r="L36" s="16"/>
      <c r="M36" s="21"/>
      <c r="N36" s="16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</sheetData>
  <mergeCells count="11">
    <mergeCell ref="E11:F11"/>
    <mergeCell ref="H4:J11"/>
    <mergeCell ref="K6:N6"/>
    <mergeCell ref="D1:J1"/>
    <mergeCell ref="K1:N1"/>
    <mergeCell ref="K2:N2"/>
    <mergeCell ref="K3:N3"/>
    <mergeCell ref="K4:N4"/>
    <mergeCell ref="K5:N5"/>
    <mergeCell ref="E4:F4"/>
    <mergeCell ref="D5:F5"/>
  </mergeCells>
  <conditionalFormatting sqref="K2:N2">
    <cfRule type="expression" dxfId="1" priority="3">
      <formula>$B$8=ROW()</formula>
    </cfRule>
  </conditionalFormatting>
  <conditionalFormatting sqref="K10:N21">
    <cfRule type="expression" dxfId="0" priority="2" stopIfTrue="1">
      <formula>$B$8=ROW()</formula>
    </cfRule>
  </conditionalFormatting>
  <pageMargins left="0.7" right="0.7" top="0.75" bottom="0.75" header="0.3" footer="0.3"/>
  <pageSetup orientation="portrait" r:id="rId1"/>
  <ignoredErrors>
    <ignoredError sqref="B7 B9 Q10 Q2:Q6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0CBD4-A35E-45AE-9049-3A16E73FBB17}">
  <sheetPr codeName="Feuil2">
    <tabColor rgb="FF00B0F0"/>
  </sheetPr>
  <dimension ref="A1:K47"/>
  <sheetViews>
    <sheetView workbookViewId="0">
      <selection activeCell="A2" sqref="A2"/>
    </sheetView>
  </sheetViews>
  <sheetFormatPr baseColWidth="10" defaultRowHeight="15" x14ac:dyDescent="0.25"/>
  <cols>
    <col min="2" max="2" width="34.85546875" customWidth="1"/>
    <col min="3" max="3" width="35.140625" customWidth="1"/>
    <col min="4" max="4" width="13" customWidth="1"/>
    <col min="5" max="5" width="14.28515625" hidden="1" customWidth="1"/>
    <col min="6" max="6" width="23.7109375" customWidth="1"/>
    <col min="7" max="7" width="79.28515625" customWidth="1"/>
    <col min="8" max="8" width="16.42578125" customWidth="1"/>
    <col min="9" max="9" width="12.7109375" customWidth="1"/>
  </cols>
  <sheetData>
    <row r="1" spans="1:11" ht="15.75" x14ac:dyDescent="0.25">
      <c r="A1" s="63" t="s">
        <v>0</v>
      </c>
      <c r="B1" s="63"/>
      <c r="C1" s="63"/>
      <c r="D1" s="63"/>
      <c r="E1" s="63"/>
      <c r="F1" s="63"/>
      <c r="G1" s="63"/>
      <c r="H1" s="64" t="s">
        <v>59</v>
      </c>
      <c r="I1" s="64"/>
      <c r="J1" s="64"/>
      <c r="K1" s="64"/>
    </row>
    <row r="2" spans="1:11" ht="15.75" x14ac:dyDescent="0.25">
      <c r="A2" s="14" t="s">
        <v>57</v>
      </c>
      <c r="B2" s="14" t="s">
        <v>56</v>
      </c>
      <c r="C2" s="14" t="s">
        <v>1</v>
      </c>
      <c r="D2" s="14" t="s">
        <v>2</v>
      </c>
      <c r="E2" s="14" t="s">
        <v>3</v>
      </c>
      <c r="F2" s="14" t="s">
        <v>4</v>
      </c>
      <c r="G2" s="14" t="s">
        <v>58</v>
      </c>
      <c r="H2" s="35" t="s">
        <v>60</v>
      </c>
      <c r="I2" s="35" t="s">
        <v>63</v>
      </c>
      <c r="J2" s="35" t="s">
        <v>62</v>
      </c>
      <c r="K2" s="35" t="s">
        <v>61</v>
      </c>
    </row>
    <row r="3" spans="1:11" ht="15.75" x14ac:dyDescent="0.25">
      <c r="A3" s="37">
        <v>1001</v>
      </c>
      <c r="B3" s="37" t="s">
        <v>5</v>
      </c>
      <c r="C3" s="37" t="s">
        <v>42</v>
      </c>
      <c r="D3" s="38">
        <v>4000</v>
      </c>
      <c r="E3" s="39">
        <v>2500</v>
      </c>
      <c r="F3" s="40">
        <v>0.16</v>
      </c>
      <c r="G3" s="37" t="s">
        <v>65</v>
      </c>
      <c r="H3" s="36" cm="1">
        <f t="array" ref="H3">IF(A3="","",SUMPRODUCT((Caisse!$K$10:$K$999=Articles!B3)*(Caisse!$L$10:$L$999)))</f>
        <v>0</v>
      </c>
      <c r="I3" s="36">
        <f>IF(A3="","",IF(F3=5.5%,H3*(D3-E3)*(1-Caisse!$Q$10),0))</f>
        <v>0</v>
      </c>
      <c r="J3" s="36">
        <f>IF(A4="","",IF(F4=10%,H4*(D4-E4)*(1-Caisse!$Q$10),0))</f>
        <v>0</v>
      </c>
      <c r="K3" s="36">
        <f>IF(A4="","",IF(F4=20%,H4*(D4-E4)*(1-Caisse!$Q$10),0))</f>
        <v>0</v>
      </c>
    </row>
    <row r="4" spans="1:11" ht="15.75" x14ac:dyDescent="0.25">
      <c r="A4" s="37">
        <v>1002</v>
      </c>
      <c r="B4" s="37" t="s">
        <v>6</v>
      </c>
      <c r="C4" s="37" t="s">
        <v>43</v>
      </c>
      <c r="D4" s="38">
        <v>10000</v>
      </c>
      <c r="E4" s="39">
        <v>8700</v>
      </c>
      <c r="F4" s="40">
        <v>0.05</v>
      </c>
      <c r="G4" s="37" t="s">
        <v>66</v>
      </c>
      <c r="H4" s="36" cm="1">
        <f t="array" ref="H4">IF(A4="","",SUMPRODUCT((Caisse!$K$10:$K$999=Articles!B4)*(Caisse!$L$10:$L$999)))</f>
        <v>0</v>
      </c>
      <c r="I4" s="36">
        <f>IF(A4="","",IF(F4=5.5%,H4*(D4-E4)*(1-Caisse!$Q$10),0))</f>
        <v>0</v>
      </c>
      <c r="J4" s="36">
        <f>IF(A5="","",IF(F5=10%,H5*(D5-E5)*(1-Caisse!$Q$10),0))</f>
        <v>0</v>
      </c>
      <c r="K4" s="36">
        <f>IF(A5="","",IF(F5=20%,H5*(D5-E5)*(1-Caisse!$Q$10),0))</f>
        <v>0</v>
      </c>
    </row>
    <row r="5" spans="1:11" ht="15.75" x14ac:dyDescent="0.25">
      <c r="A5" s="37">
        <v>1003</v>
      </c>
      <c r="B5" s="37" t="s">
        <v>7</v>
      </c>
      <c r="C5" s="37" t="s">
        <v>44</v>
      </c>
      <c r="D5" s="38">
        <v>2500</v>
      </c>
      <c r="E5" s="39">
        <v>1500</v>
      </c>
      <c r="F5" s="40">
        <v>0.1</v>
      </c>
      <c r="G5" s="37" t="s">
        <v>68</v>
      </c>
      <c r="H5" s="36" cm="1">
        <f t="array" ref="H5">IF(A5="","",SUMPRODUCT((Caisse!$K$10:$K$999=Articles!B5)*(Caisse!$L$10:$L$999)))</f>
        <v>0</v>
      </c>
      <c r="I5" s="36">
        <f>IF(A5="","",IF(F5=5.5%,H5*(D5-E5)*(1-Caisse!$Q$10),0))</f>
        <v>0</v>
      </c>
      <c r="J5" s="36">
        <f>IF(A6="","",IF(F6=10%,H6*(D6-E6)*(1-Caisse!$Q$10),0))</f>
        <v>0</v>
      </c>
      <c r="K5" s="36">
        <f>IF(A6="","",IF(F6=20%,H6*(D6-E6)*(1-Caisse!$Q$10),0))</f>
        <v>0</v>
      </c>
    </row>
    <row r="6" spans="1:11" ht="15.75" x14ac:dyDescent="0.25">
      <c r="A6" s="37">
        <v>1004</v>
      </c>
      <c r="B6" s="37" t="s">
        <v>8</v>
      </c>
      <c r="C6" s="37" t="s">
        <v>45</v>
      </c>
      <c r="D6" s="38">
        <v>17000</v>
      </c>
      <c r="E6" s="39">
        <v>15400</v>
      </c>
      <c r="F6" s="40">
        <v>0.16</v>
      </c>
      <c r="G6" s="37" t="s">
        <v>67</v>
      </c>
      <c r="H6" s="36" cm="1">
        <f t="array" ref="H6">IF(A6="","",SUMPRODUCT((Caisse!$K$10:$K$999=Articles!B6)*(Caisse!$L$10:$L$999)))</f>
        <v>0</v>
      </c>
      <c r="I6" s="36">
        <f>IF(A6="","",IF(F6=5.5%,H6*(D6-E6)*(1-Caisse!$Q$10),0))</f>
        <v>0</v>
      </c>
      <c r="J6" s="36">
        <f>IF(A7="","",IF(F7=10%,H7*(D7-E7)*(1-Caisse!$Q$10),0))</f>
        <v>0</v>
      </c>
      <c r="K6" s="36">
        <f>IF(A7="","",IF(F7=20%,H7*(D7-E7)*(1-Caisse!$Q$10),0))</f>
        <v>0</v>
      </c>
    </row>
    <row r="7" spans="1:11" ht="15.75" x14ac:dyDescent="0.25">
      <c r="A7" s="37">
        <v>1005</v>
      </c>
      <c r="B7" s="37" t="s">
        <v>9</v>
      </c>
      <c r="C7" s="37" t="s">
        <v>46</v>
      </c>
      <c r="D7" s="38">
        <v>500</v>
      </c>
      <c r="E7" s="39">
        <v>250</v>
      </c>
      <c r="F7" s="40">
        <v>0.16</v>
      </c>
      <c r="G7" s="37" t="s">
        <v>69</v>
      </c>
      <c r="H7" s="36" cm="1">
        <f t="array" ref="H7">IF(A7="","",SUMPRODUCT((Caisse!$K$10:$K$999=Articles!B7)*(Caisse!$L$10:$L$999)))</f>
        <v>0</v>
      </c>
      <c r="I7" s="36">
        <f>IF(A7="","",IF(F7=5.5%,H7*(D7-E7)*(1-Caisse!$Q$10),0))</f>
        <v>0</v>
      </c>
      <c r="J7" s="36">
        <f>IF(A8="","",IF(F8=10%,H8*(D8-E8)*(1-Caisse!$Q$10),0))</f>
        <v>0</v>
      </c>
      <c r="K7" s="36">
        <f>IF(A8="","",IF(F8=20%,H8*(D8-E8)*(1-Caisse!$Q$10),0))</f>
        <v>0</v>
      </c>
    </row>
    <row r="8" spans="1:11" ht="15.75" x14ac:dyDescent="0.25">
      <c r="A8" s="37">
        <v>1006</v>
      </c>
      <c r="B8" s="37" t="s">
        <v>10</v>
      </c>
      <c r="C8" s="37" t="s">
        <v>47</v>
      </c>
      <c r="D8" s="38">
        <v>2500</v>
      </c>
      <c r="E8" s="39">
        <v>560</v>
      </c>
      <c r="F8" s="40">
        <v>0.05</v>
      </c>
      <c r="G8" s="37" t="s">
        <v>70</v>
      </c>
      <c r="H8" s="36" cm="1">
        <f t="array" ref="H8">IF(A8="","",SUMPRODUCT((Caisse!$K$10:$K$999=Articles!B8)*(Caisse!$L$10:$L$999)))</f>
        <v>0</v>
      </c>
      <c r="I8" s="36">
        <f>IF(A8="","",IF(F8=5.5%,H8*(D8-E8)*(1-Caisse!$Q$10),0))</f>
        <v>0</v>
      </c>
      <c r="J8" s="36">
        <f>IF(A9="","",IF(F9=10%,H9*(D9-E9)*(1-Caisse!$Q$10),0))</f>
        <v>0</v>
      </c>
      <c r="K8" s="36">
        <f>IF(A9="","",IF(F9=20%,H9*(D9-E9)*(1-Caisse!$Q$10),0))</f>
        <v>0</v>
      </c>
    </row>
    <row r="9" spans="1:11" ht="15.75" x14ac:dyDescent="0.25">
      <c r="A9" s="37">
        <v>1007</v>
      </c>
      <c r="B9" s="37" t="s">
        <v>11</v>
      </c>
      <c r="C9" s="37" t="s">
        <v>48</v>
      </c>
      <c r="D9" s="38">
        <v>4500</v>
      </c>
      <c r="E9" s="39">
        <v>1300</v>
      </c>
      <c r="F9" s="40">
        <v>0.1</v>
      </c>
      <c r="G9" s="37" t="s">
        <v>71</v>
      </c>
      <c r="H9" s="36" cm="1">
        <f t="array" ref="H9">IF(A9="","",SUMPRODUCT((Caisse!$K$10:$K$999=Articles!B9)*(Caisse!$L$10:$L$999)))</f>
        <v>0</v>
      </c>
      <c r="I9" s="36">
        <f>IF(A9="","",IF(F9=5.5%,H9*(D9-E9)*(1-Caisse!$Q$10),0))</f>
        <v>0</v>
      </c>
      <c r="J9" s="36">
        <f>IF(A10="","",IF(F10=10%,H10*(D10-E10)*(1-Caisse!$Q$10),0))</f>
        <v>0</v>
      </c>
      <c r="K9" s="36">
        <f>IF(A10="","",IF(F10=20%,H10*(D10-E10)*(1-Caisse!$Q$10),0))</f>
        <v>0</v>
      </c>
    </row>
    <row r="10" spans="1:11" ht="15.75" x14ac:dyDescent="0.25">
      <c r="A10" s="37">
        <v>1008</v>
      </c>
      <c r="B10" s="37" t="s">
        <v>72</v>
      </c>
      <c r="C10" s="37" t="s">
        <v>49</v>
      </c>
      <c r="D10" s="38">
        <v>3000</v>
      </c>
      <c r="E10" s="39">
        <v>2300</v>
      </c>
      <c r="F10" s="40">
        <v>0.16</v>
      </c>
      <c r="G10" s="37" t="s">
        <v>73</v>
      </c>
      <c r="H10" s="36" cm="1">
        <f t="array" ref="H10">IF(A10="","",SUMPRODUCT((Caisse!$K$10:$K$999=Articles!B10)*(Caisse!$L$10:$L$999)))</f>
        <v>0</v>
      </c>
      <c r="I10" s="36">
        <f>IF(A10="","",IF(F10=5.5%,H10*(D10-E10)*(1-Caisse!$Q$10),0))</f>
        <v>0</v>
      </c>
      <c r="J10" s="36">
        <f>IF(A11="","",IF(F11=10%,H11*(D11-E11)*(1-Caisse!$Q$10),0))</f>
        <v>0</v>
      </c>
      <c r="K10" s="36">
        <f>IF(A11="","",IF(F11=20%,H11*(D11-E11)*(1-Caisse!$Q$10),0))</f>
        <v>0</v>
      </c>
    </row>
    <row r="11" spans="1:11" ht="15.75" x14ac:dyDescent="0.25">
      <c r="A11" s="37">
        <v>1009</v>
      </c>
      <c r="B11" s="37" t="s">
        <v>12</v>
      </c>
      <c r="C11" s="37" t="s">
        <v>50</v>
      </c>
      <c r="D11" s="38">
        <v>500</v>
      </c>
      <c r="E11" s="39">
        <v>250</v>
      </c>
      <c r="F11" s="40">
        <v>0.05</v>
      </c>
      <c r="G11" s="37" t="s">
        <v>74</v>
      </c>
      <c r="H11" s="36" cm="1">
        <f t="array" ref="H11">IF(A11="","",SUMPRODUCT((Caisse!$K$10:$K$999=Articles!B11)*(Caisse!$L$10:$L$999)))</f>
        <v>0</v>
      </c>
      <c r="I11" s="36">
        <f>IF(A11="","",IF(F11=5.5%,H11*(D11-E11)*(1-Caisse!$Q$10),0))</f>
        <v>0</v>
      </c>
      <c r="J11" s="36">
        <f>IF(A12="","",IF(F12=10%,H12*(D12-E12)*(1-Caisse!$Q$10),0))</f>
        <v>0</v>
      </c>
      <c r="K11" s="36">
        <f>IF(A12="","",IF(F12=20%,H12*(D12-E12)*(1-Caisse!$Q$10),0))</f>
        <v>0</v>
      </c>
    </row>
    <row r="12" spans="1:11" ht="15.75" x14ac:dyDescent="0.25">
      <c r="A12" s="37">
        <v>1010</v>
      </c>
      <c r="B12" s="37" t="s">
        <v>13</v>
      </c>
      <c r="C12" s="37" t="s">
        <v>51</v>
      </c>
      <c r="D12" s="38">
        <v>1500</v>
      </c>
      <c r="E12" s="39">
        <v>750</v>
      </c>
      <c r="F12" s="40">
        <v>0.16</v>
      </c>
      <c r="G12" s="37" t="s">
        <v>75</v>
      </c>
      <c r="H12" s="36" cm="1">
        <f t="array" ref="H12">IF(A12="","",SUMPRODUCT((Caisse!$K$10:$K$999=Articles!B12)*(Caisse!$L$10:$L$999)))</f>
        <v>0</v>
      </c>
      <c r="I12" s="36">
        <f>IF(A12="","",IF(F12=5.5%,H12*(D12-E12)*(1-Caisse!$Q$10),0))</f>
        <v>0</v>
      </c>
      <c r="J12" s="36">
        <f>IF(A13="","",IF(F13=10%,H13*(D13-E13)*(1-Caisse!$Q$10),0))</f>
        <v>0</v>
      </c>
      <c r="K12" s="36">
        <f>IF(A13="","",IF(F13=20%,H13*(D13-E13)*(1-Caisse!$Q$10),0))</f>
        <v>0</v>
      </c>
    </row>
    <row r="13" spans="1:11" ht="15.75" x14ac:dyDescent="0.25">
      <c r="A13" s="37">
        <v>1011</v>
      </c>
      <c r="B13" s="37" t="s">
        <v>14</v>
      </c>
      <c r="C13" s="37" t="s">
        <v>52</v>
      </c>
      <c r="D13" s="38">
        <v>14500</v>
      </c>
      <c r="E13" s="39">
        <v>12500</v>
      </c>
      <c r="F13" s="40">
        <v>0.1</v>
      </c>
      <c r="G13" s="37" t="s">
        <v>77</v>
      </c>
      <c r="H13" s="36" cm="1">
        <f t="array" ref="H13">IF(A13="","",SUMPRODUCT((Caisse!$K$10:$K$999=Articles!B13)*(Caisse!$L$10:$L$999)))</f>
        <v>0</v>
      </c>
      <c r="I13" s="36">
        <f>IF(A13="","",IF(F13=5.5%,H13*(D13-E13)*(1-Caisse!$Q$10),0))</f>
        <v>0</v>
      </c>
      <c r="J13" s="36">
        <f>IF(A14="","",IF(F14=10%,H14*(D14-E14)*(1-Caisse!$Q$10),0))</f>
        <v>0</v>
      </c>
      <c r="K13" s="36">
        <f>IF(A14="","",IF(F14=20%,H14*(D14-E14)*(1-Caisse!$Q$10),0))</f>
        <v>0</v>
      </c>
    </row>
    <row r="14" spans="1:11" ht="15.75" x14ac:dyDescent="0.25">
      <c r="A14" s="37">
        <v>1012</v>
      </c>
      <c r="B14" s="37" t="s">
        <v>15</v>
      </c>
      <c r="C14" s="37" t="s">
        <v>53</v>
      </c>
      <c r="D14" s="38">
        <v>16000</v>
      </c>
      <c r="E14" s="39">
        <v>13400</v>
      </c>
      <c r="F14" s="40">
        <v>0.16</v>
      </c>
      <c r="G14" s="37" t="s">
        <v>76</v>
      </c>
      <c r="H14" s="36" cm="1">
        <f t="array" ref="H14">IF(A14="","",SUMPRODUCT((Caisse!$K$10:$K$999=Articles!B14)*(Caisse!$L$10:$L$999)))</f>
        <v>0</v>
      </c>
      <c r="I14" s="36">
        <f>IF(A14="","",IF(F14=5.5%,H14*(D14-E14)*(1-Caisse!$Q$10),0))</f>
        <v>0</v>
      </c>
      <c r="J14" s="36">
        <f>IF(A15="","",IF(F15=10%,H15*(D15-E15)*(1-Caisse!$Q$10),0))</f>
        <v>0</v>
      </c>
      <c r="K14" s="36">
        <f>IF(A15="","",IF(F15=20%,H15*(D15-E15)*(1-Caisse!$Q$10),0))</f>
        <v>0</v>
      </c>
    </row>
    <row r="15" spans="1:11" ht="15.75" x14ac:dyDescent="0.25">
      <c r="A15" s="37">
        <v>1013</v>
      </c>
      <c r="B15" s="37" t="s">
        <v>16</v>
      </c>
      <c r="C15" s="37" t="s">
        <v>54</v>
      </c>
      <c r="D15" s="38">
        <v>3000</v>
      </c>
      <c r="E15" s="39">
        <v>2700</v>
      </c>
      <c r="F15" s="40">
        <v>0.1</v>
      </c>
      <c r="G15" s="37" t="s">
        <v>78</v>
      </c>
      <c r="H15" s="36" cm="1">
        <f t="array" ref="H15">IF(A15="","",SUMPRODUCT((Caisse!$K$10:$K$999=Articles!B15)*(Caisse!$L$10:$L$999)))</f>
        <v>0</v>
      </c>
      <c r="I15" s="36">
        <f>IF(A15="","",IF(F15=5.5%,H15*(D15-E15)*(1-Caisse!$Q$10),0))</f>
        <v>0</v>
      </c>
      <c r="J15" s="36">
        <f>IF(A16="","",IF(F16=10%,H16*(D16-E16)*(1-Caisse!$Q$10),0))</f>
        <v>0</v>
      </c>
      <c r="K15" s="36">
        <f>IF(A16="","",IF(F16=20%,H16*(D16-E16)*(1-Caisse!$Q$10),0))</f>
        <v>0</v>
      </c>
    </row>
    <row r="16" spans="1:11" ht="15.75" x14ac:dyDescent="0.25">
      <c r="A16" s="37">
        <v>1014</v>
      </c>
      <c r="B16" s="37" t="s">
        <v>17</v>
      </c>
      <c r="C16" s="37" t="s">
        <v>55</v>
      </c>
      <c r="D16" s="38">
        <v>2000</v>
      </c>
      <c r="E16" s="39">
        <v>1300</v>
      </c>
      <c r="F16" s="40">
        <v>0.16</v>
      </c>
      <c r="G16" s="37" t="s">
        <v>79</v>
      </c>
      <c r="H16" s="36" cm="1">
        <f t="array" ref="H16">IF(A16="","",SUMPRODUCT((Caisse!$K$10:$K$999=Articles!B16)*(Caisse!$L$10:$L$999)))</f>
        <v>0</v>
      </c>
      <c r="I16" s="36">
        <f>IF(A16="","",IF(F16=5.5%,H16*(D16-E16)*(1-Caisse!$Q$10),0))</f>
        <v>0</v>
      </c>
      <c r="J16" s="36" t="str">
        <f>IF(A17="","",IF(F17=10%,H17*(D17-E17)*(1-Caisse!$Q$10),0))</f>
        <v/>
      </c>
      <c r="K16" s="36" t="str">
        <f>IF(A17="","",IF(F17=20%,H17*(D17-E17)*(1-Caisse!$Q$10),0))</f>
        <v/>
      </c>
    </row>
    <row r="17" spans="1:11" ht="15.75" x14ac:dyDescent="0.25">
      <c r="A17" s="37"/>
      <c r="B17" s="37"/>
      <c r="C17" s="37"/>
      <c r="D17" s="38"/>
      <c r="E17" s="39"/>
      <c r="F17" s="40"/>
      <c r="G17" s="37"/>
      <c r="H17" s="36"/>
      <c r="I17" s="36"/>
      <c r="J17" s="36"/>
      <c r="K17" s="36"/>
    </row>
    <row r="18" spans="1:11" x14ac:dyDescent="0.25">
      <c r="I18" s="12"/>
      <c r="J18" s="12"/>
      <c r="K18" s="12"/>
    </row>
    <row r="19" spans="1:11" x14ac:dyDescent="0.25">
      <c r="I19" s="12"/>
      <c r="K19" s="12"/>
    </row>
    <row r="20" spans="1:11" x14ac:dyDescent="0.25">
      <c r="I20" s="12"/>
      <c r="K20" s="12"/>
    </row>
    <row r="21" spans="1:11" x14ac:dyDescent="0.25">
      <c r="I21" s="12"/>
      <c r="K21" s="12"/>
    </row>
    <row r="22" spans="1:11" x14ac:dyDescent="0.25">
      <c r="I22" s="12"/>
      <c r="K22" s="12"/>
    </row>
    <row r="23" spans="1:11" x14ac:dyDescent="0.25">
      <c r="I23" s="12"/>
      <c r="K23" s="12"/>
    </row>
    <row r="44" spans="8:8" x14ac:dyDescent="0.25">
      <c r="H44" t="str" cm="1">
        <f t="array" ref="H44">IF(A44="","",SUMPRODUCT((Caisse!$K$10:$K$999=Articles!B44)*(Caisse!$L$10:$L$999)))</f>
        <v/>
      </c>
    </row>
    <row r="45" spans="8:8" x14ac:dyDescent="0.25">
      <c r="H45" t="str" cm="1">
        <f t="array" ref="H45">IF(A45="","",SUMPRODUCT((Caisse!$K$10:$K$999=Articles!B45)*(Caisse!$L$10:$L$999)))</f>
        <v/>
      </c>
    </row>
    <row r="46" spans="8:8" x14ac:dyDescent="0.25">
      <c r="H46" t="str" cm="1">
        <f t="array" ref="H46">IF(A46="","",SUMPRODUCT((Caisse!$K$10:$K$999=Articles!B46)*(Caisse!$L$10:$L$999)))</f>
        <v/>
      </c>
    </row>
    <row r="47" spans="8:8" x14ac:dyDescent="0.25">
      <c r="H47" t="str" cm="1">
        <f t="array" ref="H47">IF(A47="","",SUMPRODUCT((Caisse!$K$10:$K$999=Articles!B47)*(Caisse!$L$10:$L$999)))</f>
        <v/>
      </c>
    </row>
  </sheetData>
  <mergeCells count="2">
    <mergeCell ref="A1:G1"/>
    <mergeCell ref="H1:K1"/>
  </mergeCells>
  <pageMargins left="0.7" right="0.7" top="0.75" bottom="0.75" header="0.3" footer="0.3"/>
  <ignoredErrors>
    <ignoredError sqref="H3:H16 J16:K16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0AA59-1947-4306-9622-C33B370F13B2}">
  <sheetPr codeName="Feuil3">
    <tabColor rgb="FF00B0F0"/>
  </sheetPr>
  <dimension ref="A1:Y36"/>
  <sheetViews>
    <sheetView workbookViewId="0">
      <selection activeCell="F3" sqref="F3"/>
    </sheetView>
  </sheetViews>
  <sheetFormatPr baseColWidth="10" defaultRowHeight="15" x14ac:dyDescent="0.25"/>
  <cols>
    <col min="2" max="2" width="32" customWidth="1"/>
    <col min="3" max="3" width="30.85546875" customWidth="1"/>
    <col min="4" max="4" width="11.7109375" bestFit="1" customWidth="1"/>
    <col min="5" max="5" width="17" bestFit="1" customWidth="1"/>
    <col min="6" max="6" width="11.7109375" bestFit="1" customWidth="1"/>
  </cols>
  <sheetData>
    <row r="1" spans="1:25" ht="20.25" x14ac:dyDescent="0.3">
      <c r="A1" s="65" t="s">
        <v>81</v>
      </c>
      <c r="B1" s="65"/>
      <c r="C1" s="65"/>
      <c r="D1" s="65"/>
      <c r="E1" s="65"/>
      <c r="F1" s="65"/>
      <c r="G1" s="34"/>
      <c r="H1" s="34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</row>
    <row r="2" spans="1:25" ht="18.75" x14ac:dyDescent="0.3">
      <c r="A2" s="26" t="s">
        <v>40</v>
      </c>
      <c r="B2" s="27" t="s">
        <v>41</v>
      </c>
      <c r="C2" s="26" t="s">
        <v>31</v>
      </c>
      <c r="D2" s="26" t="s">
        <v>32</v>
      </c>
      <c r="E2" s="33" t="s">
        <v>33</v>
      </c>
      <c r="F2" s="26" t="s">
        <v>34</v>
      </c>
      <c r="G2" s="23"/>
      <c r="H2" s="23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</row>
    <row r="3" spans="1:25" ht="18.75" x14ac:dyDescent="0.3">
      <c r="A3" s="28"/>
      <c r="B3" s="29"/>
      <c r="C3" s="28"/>
      <c r="D3" s="28"/>
      <c r="E3" s="30"/>
      <c r="F3" s="28"/>
      <c r="G3" s="23"/>
      <c r="H3" s="23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</row>
    <row r="4" spans="1:25" ht="18.75" x14ac:dyDescent="0.3">
      <c r="A4" s="28"/>
      <c r="B4" s="29"/>
      <c r="C4" s="28"/>
      <c r="D4" s="28"/>
      <c r="E4" s="30"/>
      <c r="F4" s="28"/>
      <c r="G4" s="23"/>
      <c r="H4" s="23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1:25" ht="18.75" x14ac:dyDescent="0.3">
      <c r="A5" s="28"/>
      <c r="B5" s="29"/>
      <c r="C5" s="28"/>
      <c r="D5" s="28"/>
      <c r="E5" s="30"/>
      <c r="F5" s="28"/>
      <c r="G5" s="23"/>
      <c r="H5" s="23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</row>
    <row r="6" spans="1:25" ht="18.75" x14ac:dyDescent="0.3">
      <c r="A6" s="28"/>
      <c r="B6" s="29"/>
      <c r="C6" s="28"/>
      <c r="D6" s="28"/>
      <c r="E6" s="30"/>
      <c r="F6" s="28"/>
      <c r="G6" s="23"/>
      <c r="H6" s="23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</row>
    <row r="7" spans="1:25" ht="18.75" x14ac:dyDescent="0.3">
      <c r="A7" s="28"/>
      <c r="B7" s="29"/>
      <c r="C7" s="28"/>
      <c r="D7" s="28"/>
      <c r="E7" s="30"/>
      <c r="F7" s="28"/>
      <c r="G7" s="23"/>
      <c r="H7" s="23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</row>
    <row r="8" spans="1:25" ht="18.75" x14ac:dyDescent="0.3">
      <c r="A8" s="28"/>
      <c r="B8" s="29"/>
      <c r="C8" s="28"/>
      <c r="D8" s="28"/>
      <c r="E8" s="30"/>
      <c r="F8" s="28"/>
      <c r="G8" s="23"/>
      <c r="H8" s="23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</row>
    <row r="9" spans="1:25" ht="18.75" x14ac:dyDescent="0.3">
      <c r="A9" s="28"/>
      <c r="B9" s="29"/>
      <c r="C9" s="28"/>
      <c r="D9" s="28"/>
      <c r="E9" s="30"/>
      <c r="F9" s="28"/>
      <c r="G9" s="23"/>
      <c r="H9" s="23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ht="18.75" x14ac:dyDescent="0.3">
      <c r="A10" s="28"/>
      <c r="B10" s="29"/>
      <c r="C10" s="28"/>
      <c r="D10" s="28"/>
      <c r="E10" s="30"/>
      <c r="F10" s="28"/>
      <c r="G10" s="23"/>
      <c r="H10" s="23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</row>
    <row r="11" spans="1:25" ht="18.75" x14ac:dyDescent="0.3">
      <c r="A11" s="28"/>
      <c r="B11" s="29"/>
      <c r="C11" s="28"/>
      <c r="D11" s="28"/>
      <c r="E11" s="30"/>
      <c r="F11" s="28"/>
      <c r="G11" s="23"/>
      <c r="H11" s="23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8.75" x14ac:dyDescent="0.3">
      <c r="A12" s="28"/>
      <c r="B12" s="29"/>
      <c r="C12" s="28"/>
      <c r="D12" s="28"/>
      <c r="E12" s="30"/>
      <c r="F12" s="28"/>
      <c r="G12" s="23"/>
      <c r="H12" s="23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</row>
    <row r="13" spans="1:25" ht="18.75" x14ac:dyDescent="0.3">
      <c r="A13" s="28"/>
      <c r="B13" s="29"/>
      <c r="C13" s="28"/>
      <c r="D13" s="28"/>
      <c r="E13" s="30"/>
      <c r="F13" s="28"/>
      <c r="G13" s="23"/>
      <c r="H13" s="23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ht="18.75" x14ac:dyDescent="0.3">
      <c r="A14" s="28"/>
      <c r="B14" s="29"/>
      <c r="C14" s="28"/>
      <c r="D14" s="28"/>
      <c r="E14" s="30"/>
      <c r="F14" s="28"/>
      <c r="G14" s="23"/>
      <c r="H14" s="23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8.75" x14ac:dyDescent="0.3">
      <c r="A15" s="28"/>
      <c r="B15" s="29"/>
      <c r="C15" s="28"/>
      <c r="D15" s="28"/>
      <c r="E15" s="30"/>
      <c r="F15" s="28"/>
      <c r="G15" s="23"/>
      <c r="H15" s="23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8.75" x14ac:dyDescent="0.3">
      <c r="A16" s="28"/>
      <c r="B16" s="29"/>
      <c r="C16" s="28"/>
      <c r="D16" s="28"/>
      <c r="E16" s="30"/>
      <c r="F16" s="28"/>
      <c r="G16" s="23"/>
      <c r="H16" s="23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8.75" x14ac:dyDescent="0.3">
      <c r="A17" s="28"/>
      <c r="B17" s="29"/>
      <c r="C17" s="28"/>
      <c r="D17" s="28"/>
      <c r="E17" s="30"/>
      <c r="F17" s="28"/>
      <c r="G17" s="23"/>
      <c r="H17" s="23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8.75" x14ac:dyDescent="0.3">
      <c r="A18" s="28"/>
      <c r="B18" s="29"/>
      <c r="C18" s="28"/>
      <c r="D18" s="28"/>
      <c r="E18" s="30"/>
      <c r="F18" s="28"/>
      <c r="G18" s="23"/>
      <c r="H18" s="23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8.75" x14ac:dyDescent="0.3">
      <c r="A19" s="28"/>
      <c r="B19" s="28"/>
      <c r="C19" s="28"/>
      <c r="D19" s="28"/>
      <c r="E19" s="28"/>
      <c r="F19" s="28"/>
      <c r="G19" s="23"/>
      <c r="H19" s="23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8.75" x14ac:dyDescent="0.3">
      <c r="A20" s="28"/>
      <c r="B20" s="28"/>
      <c r="C20" s="28"/>
      <c r="D20" s="28"/>
      <c r="E20" s="28"/>
      <c r="F20" s="28"/>
      <c r="G20" s="23"/>
      <c r="H20" s="23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8.75" x14ac:dyDescent="0.3">
      <c r="A21" s="31"/>
      <c r="B21" s="31"/>
      <c r="C21" s="31"/>
      <c r="D21" s="31"/>
      <c r="E21" s="31"/>
      <c r="F21" s="31"/>
      <c r="G21" s="24"/>
      <c r="H21" s="24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8.75" x14ac:dyDescent="0.3">
      <c r="A22" s="31"/>
      <c r="B22" s="31"/>
      <c r="C22" s="31"/>
      <c r="D22" s="31"/>
      <c r="E22" s="31"/>
      <c r="F22" s="31"/>
      <c r="G22" s="24"/>
      <c r="H22" s="24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8.75" x14ac:dyDescent="0.3">
      <c r="A23" s="31"/>
      <c r="B23" s="31"/>
      <c r="C23" s="31"/>
      <c r="D23" s="31"/>
      <c r="E23" s="31"/>
      <c r="F23" s="31"/>
      <c r="G23" s="24"/>
      <c r="H23" s="24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6.5" x14ac:dyDescent="0.3">
      <c r="A24" s="32"/>
      <c r="B24" s="32"/>
      <c r="C24" s="32"/>
      <c r="D24" s="32"/>
      <c r="E24" s="32"/>
      <c r="F24" s="32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6.5" x14ac:dyDescent="0.3">
      <c r="A25" s="32"/>
      <c r="B25" s="32"/>
      <c r="C25" s="32"/>
      <c r="D25" s="32"/>
      <c r="E25" s="32"/>
      <c r="F25" s="32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ht="16.5" x14ac:dyDescent="0.3">
      <c r="A26" s="32"/>
      <c r="B26" s="32"/>
      <c r="C26" s="32"/>
      <c r="D26" s="32"/>
      <c r="E26" s="32"/>
      <c r="F26" s="32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6.5" x14ac:dyDescent="0.3">
      <c r="A27" s="32"/>
      <c r="B27" s="32"/>
      <c r="C27" s="32"/>
      <c r="D27" s="32"/>
      <c r="E27" s="32"/>
      <c r="F27" s="32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ht="16.5" x14ac:dyDescent="0.3">
      <c r="A28" s="32"/>
      <c r="B28" s="32"/>
      <c r="C28" s="32"/>
      <c r="D28" s="32"/>
      <c r="E28" s="32"/>
      <c r="F28" s="32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6.5" x14ac:dyDescent="0.3">
      <c r="A29" s="32"/>
      <c r="B29" s="32"/>
      <c r="C29" s="32"/>
      <c r="D29" s="32"/>
      <c r="E29" s="32"/>
      <c r="F29" s="32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ht="16.5" x14ac:dyDescent="0.3">
      <c r="A30" s="32"/>
      <c r="B30" s="32"/>
      <c r="C30" s="32"/>
      <c r="D30" s="32"/>
      <c r="E30" s="32"/>
      <c r="F30" s="32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</row>
    <row r="31" spans="1:25" ht="16.5" x14ac:dyDescent="0.3">
      <c r="A31" s="32"/>
      <c r="B31" s="32"/>
      <c r="C31" s="32"/>
      <c r="D31" s="32"/>
      <c r="E31" s="32"/>
      <c r="F31" s="32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ht="16.5" x14ac:dyDescent="0.3">
      <c r="A32" s="32"/>
      <c r="B32" s="32"/>
      <c r="C32" s="32"/>
      <c r="D32" s="32"/>
      <c r="E32" s="32"/>
      <c r="F32" s="32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6.5" x14ac:dyDescent="0.3">
      <c r="A33" s="32"/>
      <c r="B33" s="32"/>
      <c r="C33" s="32"/>
      <c r="D33" s="32"/>
      <c r="E33" s="32"/>
      <c r="F33" s="32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ht="16.5" x14ac:dyDescent="0.3">
      <c r="A34" s="32"/>
      <c r="B34" s="32"/>
      <c r="C34" s="32"/>
      <c r="D34" s="32"/>
      <c r="E34" s="32"/>
      <c r="F34" s="32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6.5" x14ac:dyDescent="0.3">
      <c r="A35" s="32"/>
      <c r="B35" s="32"/>
      <c r="C35" s="32"/>
      <c r="D35" s="32"/>
      <c r="E35" s="32"/>
      <c r="F35" s="32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6.5" x14ac:dyDescent="0.3">
      <c r="A36" s="32"/>
      <c r="B36" s="32"/>
      <c r="C36" s="32"/>
      <c r="D36" s="32"/>
      <c r="E36" s="32"/>
      <c r="F36" s="32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</sheetData>
  <mergeCells count="1">
    <mergeCell ref="A1:F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Caisse</vt:lpstr>
      <vt:lpstr>Articles</vt:lpstr>
      <vt:lpstr>Historiques_ventes</vt:lpstr>
      <vt:lpstr>basttc</vt:lpstr>
      <vt:lpstr>Caisse!Zone_d_impression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ACHILLE</dc:creator>
  <cp:lastModifiedBy>ACHILLE</cp:lastModifiedBy>
  <cp:lastPrinted>2025-09-18T18:04:07Z</cp:lastPrinted>
  <dcterms:created xsi:type="dcterms:W3CDTF">2025-09-13T13:04:28Z</dcterms:created>
  <dcterms:modified xsi:type="dcterms:W3CDTF">2025-11-01T09:22:07Z</dcterms:modified>
</cp:coreProperties>
</file>